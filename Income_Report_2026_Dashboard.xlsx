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4080" windowHeight="13420"/>
  </bookViews>
  <sheets>
    <sheet name="Dashboard" sheetId="1" r:id="rId1"/>
    <sheet name="Summary" sheetId="15" r:id="rId2"/>
    <sheet name="Full_Data" sheetId="2" r:id="rId3"/>
    <sheet name="January" sheetId="3" r:id="rId4"/>
    <sheet name="February" sheetId="4" r:id="rId5"/>
    <sheet name="March" sheetId="5" r:id="rId6"/>
    <sheet name="April" sheetId="6" r:id="rId7"/>
    <sheet name="May" sheetId="7" r:id="rId8"/>
    <sheet name="June" sheetId="8" r:id="rId9"/>
    <sheet name="July" sheetId="9" r:id="rId10"/>
    <sheet name="August" sheetId="10" r:id="rId11"/>
    <sheet name="September" sheetId="11" r:id="rId12"/>
    <sheet name="October" sheetId="12" r:id="rId13"/>
    <sheet name="November" sheetId="13" r:id="rId14"/>
    <sheet name="December" sheetId="14" r:id="rId15"/>
  </sheets>
  <externalReferences>
    <externalReference r:id="rId20"/>
  </externalReferences>
  <definedNames>
    <definedName name="Slicer_Month">#N/A</definedName>
    <definedName name="Slicer_Quarter">#N/A</definedName>
  </definedNames>
  <calcPr calcId="191029"/>
  <pivotCaches>
    <pivotCache cacheId="0" r:id="rId16"/>
    <pivotCache cacheId="1" r:id="rId17"/>
  </pivotCaches>
  <extLst>
    <ext xmlns:x14="http://schemas.microsoft.com/office/spreadsheetml/2009/9/main" uri="{BBE1A952-AA13-448e-AADC-164F8A28A991}">
      <x14:slicerCaches>
        <x14:slicerCache r:id="rId19"/>
        <x14:slicerCache r:id="rId1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<sst xmlns="http://schemas.openxmlformats.org/spreadsheetml/2006/main" count="1970" uniqueCount="119">
  <si>
    <t xml:space="preserve"> Income Report-2026 (Mock Data)</t>
  </si>
  <si>
    <t>Total Income</t>
  </si>
  <si>
    <t>Total Target</t>
  </si>
  <si>
    <t>Target Difference</t>
  </si>
  <si>
    <t>Average Daily Revenue</t>
  </si>
  <si>
    <t>Days Met or Exceeded Target</t>
  </si>
  <si>
    <t>Month</t>
  </si>
  <si>
    <t>Sum of Target</t>
  </si>
  <si>
    <t>Sum of Total Income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</si>
  <si>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</si>
  <si>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</si>
  <si>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</si>
  <si>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</si>
  <si>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</si>
  <si>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</si>
  <si>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</si>
  <si>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</si>
  <si>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</si>
  <si>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</si>
  <si>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</si>
  <si>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Payment method</t>
  </si>
  <si>
    <t>Sum of Total</t>
  </si>
  <si>
    <t>December</t>
  </si>
  <si>
    <t>Cash</t>
  </si>
  <si>
    <t>Grand Total</t>
  </si>
  <si>
    <t>Eftpos Offline</t>
  </si>
  <si>
    <t>Eftpos Online</t>
  </si>
  <si>
    <t>GiftCard</t>
  </si>
  <si>
    <t>Internet Banking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</si>
  <si>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</si>
  <si>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</si>
  <si>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</si>
  <si>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</si>
  <si>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</si>
  <si>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</si>
  <si>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</si>
  <si>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</si>
  <si>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Income Report 2026 – Summary Report</t>
  </si>
  <si>
    <t>Portfolio summary: mock income data, working-day target tracking, payment method analysis, and monthly/quarterly performance reporting.</t>
  </si>
  <si>
    <t>Executive Summary</t>
  </si>
  <si>
    <t>Column1</t>
  </si>
  <si>
    <t>Working Day Target</t>
  </si>
  <si>
    <t>Overall Target Gap</t>
  </si>
  <si>
    <t>Target Achievement %</t>
  </si>
  <si>
    <t>Average Working Day Income</t>
  </si>
  <si>
    <t>Days Met Target</t>
  </si>
  <si>
    <t>Best Month</t>
  </si>
  <si>
    <t>Top Payment Method</t>
  </si>
  <si>
    <t>Income</t>
  </si>
  <si>
    <t>Gap</t>
  </si>
  <si>
    <t>Achievement %</t>
  </si>
  <si>
    <t>Payment Method</t>
  </si>
  <si>
    <t>Total</t>
  </si>
  <si>
    <t>Share %</t>
  </si>
  <si>
    <t>Q1</t>
  </si>
  <si>
    <t>Q2</t>
  </si>
  <si>
    <t>Q3</t>
  </si>
  <si>
    <t>Q4</t>
  </si>
  <si>
    <t>Date</t>
  </si>
  <si>
    <t>Month_No</t>
  </si>
  <si>
    <t>Quarter</t>
  </si>
  <si>
    <t>Week_No</t>
  </si>
  <si>
    <t>Target</t>
  </si>
  <si>
    <t>INCOME REPORT- 2026</t>
  </si>
  <si>
    <t>Weekly Target:</t>
  </si>
  <si>
    <t>Daily Target:</t>
  </si>
  <si>
    <t>Eftpos(Online)</t>
  </si>
  <si>
    <t>Eftpos(Offline)</t>
  </si>
  <si>
    <t>Cashier</t>
  </si>
  <si>
    <t>Notes</t>
  </si>
  <si>
    <t>WEEK 1</t>
  </si>
  <si>
    <t>Sofia Brown</t>
  </si>
  <si>
    <t>Emily Taylor</t>
  </si>
  <si>
    <t>Steady day</t>
  </si>
  <si>
    <t>Closed / no sales recorded</t>
  </si>
  <si>
    <t>50</t>
  </si>
  <si>
    <t>Good foot traffic</t>
  </si>
  <si>
    <t>TOTAL</t>
  </si>
  <si>
    <t>WEEK 2</t>
  </si>
  <si>
    <t>Aroha Patel</t>
  </si>
  <si>
    <t>Liam Chen</t>
  </si>
  <si>
    <t>Maya Singh</t>
  </si>
  <si>
    <t>Quiet afternoon</t>
  </si>
  <si>
    <t>Noah Wilson</t>
  </si>
  <si>
    <t>WEEK 3</t>
  </si>
  <si>
    <t>Wellington Anniversary Day</t>
  </si>
  <si>
    <t>Riya Kumar</t>
  </si>
  <si>
    <t>Lucas Martin</t>
  </si>
  <si>
    <t>WEEK 4</t>
  </si>
  <si>
    <t>Australian High Commision Event</t>
  </si>
  <si>
    <t>Morning sale</t>
  </si>
  <si>
    <t>WEEK 5</t>
  </si>
  <si>
    <t>JANUARY-GRAND TOTAL</t>
  </si>
  <si>
    <t>Repeat customer</t>
  </si>
  <si>
    <t>Public holiday-Waitangi Day</t>
  </si>
  <si>
    <t>Donation purchase</t>
  </si>
  <si>
    <t>Card preferred</t>
  </si>
  <si>
    <t>FEBRUARY-GRAND TOTAL</t>
  </si>
  <si>
    <t>Sip &amp; shop (3pm-6pm)</t>
  </si>
  <si>
    <t>Membership Subscription Fee= $23</t>
  </si>
  <si>
    <t>Donation= $2</t>
  </si>
  <si>
    <t>Small sale</t>
  </si>
  <si>
    <t>Easter day Promotion -Discount=50% on dress tagged with Easter egg sticker.</t>
  </si>
  <si>
    <t>MARCH-GRAND TOTAL</t>
  </si>
  <si>
    <t>1.Easter day Promotion -Discount=50% on dress tagged with Easter egg sticker.  2.Cash Donation= $32.50</t>
  </si>
  <si>
    <t>Public Holiday - Easter Holiday</t>
  </si>
  <si>
    <t>Donation:$50</t>
  </si>
  <si>
    <t>Closed due to weather conditions</t>
  </si>
  <si>
    <t>Sip &amp; shop - MSD Partner</t>
  </si>
  <si>
    <t>APRIL-GRAND TOTAL</t>
  </si>
  <si>
    <t>May-GRAND TOTAL</t>
  </si>
  <si>
    <t xml:space="preserve">JUNE </t>
  </si>
  <si>
    <t>JUNE-GRAND TOTAL</t>
  </si>
  <si>
    <t>July-GRAND TOTAL</t>
  </si>
  <si>
    <t>AUGUST-GRAND TOTAL</t>
  </si>
  <si>
    <t>SEPTEMBER-GRAND TOTAL</t>
  </si>
  <si>
    <t>OCTOBER-GRAND TOTAL</t>
  </si>
  <si>
    <t>NOVEMBER-GRAND TOTAL</t>
  </si>
  <si>
    <t>DECEMBER-GRAND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</si>
</sst>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-* #,##0_-;\-* #,##0_-;_-* &quot;-&quot;_-;_-@_-"/>
    <numFmt numFmtId="42" formatCode="_-&quot;£&quot;* #,##0_-;\-&quot;£&quot;* #,##0_-;_-&quot;£&quot;* &quot;-&quot;_-;_-@_-"/>
    <numFmt numFmtId="176" formatCode="_-* #,##0.00_-;\-* #,##0.00_-;_-* \-??_-;_-@_-"/>
    <numFmt numFmtId="177" formatCode="_-&quot;$&quot;* #,##0.00_-;&quot;-$&quot;* #,##0.00_-;_-&quot;$&quot;* \-??_-;_-@_-"/>
    <numFmt numFmtId="178" formatCode="[$-4009]0.00"/>
    <numFmt numFmtId="179" formatCode="[$$-1409]#,##0.00;[Red]\-[$$-1409]#,##0.00"/>
    <numFmt numFmtId="180" formatCode="&quot;$&quot;#,##0.00"/>
    <numFmt numFmtId="181" formatCode="[$$-1409]#,##0.00_);[Red]\([$$-1409]#,##0.00\)"/>
    <numFmt numFmtId="182" formatCode="[$$-1409]#,##0.00;\-[$$-1409]#,##0.00"/>
    <numFmt numFmtId="183" formatCode="0.0%"/>
    <numFmt numFmtId="184" formatCode="0_);[Red]\(0\)"/>
  </numFmts>
  <fonts count="45">
    <font>
      <sz val="11"/>
      <color theme="1"/>
      <name val="Calibri"/>
      <charset val="134"/>
    </font>
    <font>
      <sz val="11"/>
      <color rgb="FF00B050"/>
      <name val="Calibri"/>
      <charset val="134"/>
    </font>
    <font>
      <b/>
      <sz val="26"/>
      <color theme="1"/>
      <name val="Calibri"/>
      <charset val="134"/>
    </font>
    <font>
      <b/>
      <sz val="11"/>
      <color indexed="55"/>
      <name val="Calibri"/>
      <charset val="134"/>
    </font>
    <font>
      <b/>
      <sz val="11"/>
      <color rgb="FF000000"/>
      <name val="Calibri"/>
      <charset val="134"/>
    </font>
    <font>
      <b/>
      <sz val="14"/>
      <color theme="1"/>
      <name val="Calibri"/>
      <charset val="134"/>
    </font>
    <font>
      <b/>
      <sz val="11"/>
      <color theme="1"/>
      <name val="Calibri"/>
      <charset val="134"/>
    </font>
    <font>
      <b/>
      <sz val="18"/>
      <color theme="1"/>
      <name val="Calibri"/>
      <charset val="134"/>
    </font>
    <font>
      <sz val="11"/>
      <name val="Calibri"/>
      <charset val="134"/>
    </font>
    <font>
      <b/>
      <sz val="11"/>
      <color rgb="FFFF0000"/>
      <name val="Calibri"/>
      <charset val="134"/>
    </font>
    <font>
      <b/>
      <sz val="12"/>
      <color rgb="FFFF0000"/>
      <name val="Calibr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b/>
      <sz val="18"/>
      <color rgb="FFFFFFFF"/>
      <name val="Calibri"/>
      <charset val="134"/>
    </font>
    <font>
      <i/>
      <sz val="11"/>
      <color rgb="FF1F2937"/>
      <name val="Calibri"/>
      <charset val="134"/>
    </font>
    <font>
      <b/>
      <sz val="11"/>
      <color rgb="FFFFFFFF"/>
      <name val="Calibri"/>
      <charset val="134"/>
    </font>
    <font>
      <sz val="36"/>
      <color theme="0"/>
      <name val="Calibri"/>
      <charset val="134"/>
    </font>
    <font>
      <b/>
      <sz val="15"/>
      <color rgb="FF0F172A"/>
      <name val="Calibri"/>
      <charset val="134"/>
    </font>
    <font>
      <b/>
      <sz val="10"/>
      <color rgb="FFFFFFFF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158466"/>
      <name val="Calibri"/>
      <charset val="134"/>
    </font>
    <font>
      <sz val="11"/>
      <color rgb="FFFF0000"/>
      <name val="Calibri"/>
      <charset val="134"/>
    </font>
    <font>
      <sz val="11"/>
      <color rgb="FF00A933"/>
      <name val="Calibri"/>
      <charset val="134"/>
    </font>
    <font>
      <sz val="11"/>
      <color rgb="FFFF4000"/>
      <name val="Calibri"/>
      <charset val="134"/>
    </font>
    <font>
      <sz val="11"/>
      <color rgb="FFFFFF00"/>
      <name val="Calibri"/>
      <charset val="134"/>
    </font>
    <font>
      <sz val="11"/>
      <color rgb="FF000000"/>
      <name val="Calibri"/>
      <charset val="134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841303750725"/>
        <bgColor indexed="64"/>
      </patternFill>
    </fill>
    <fill>
      <patternFill patternType="solid">
        <fgColor theme="9" tint="0.59984130375072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3" tint="-0.2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0" fillId="0" borderId="0" applyBorder="0" applyProtection="0"/>
    <xf numFmtId="177" fontId="0" fillId="0" borderId="0" applyBorder="0" applyProtection="0"/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8" borderId="5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3" applyNumberFormat="0" applyFill="0" applyAlignment="0" applyProtection="0">
      <alignment vertical="center"/>
    </xf>
    <xf numFmtId="0" fontId="26" fillId="0" borderId="53" applyNumberFormat="0" applyFill="0" applyAlignment="0" applyProtection="0">
      <alignment vertical="center"/>
    </xf>
    <xf numFmtId="0" fontId="27" fillId="0" borderId="5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9" borderId="55" applyNumberFormat="0" applyAlignment="0" applyProtection="0">
      <alignment vertical="center"/>
    </xf>
    <xf numFmtId="0" fontId="29" fillId="12" borderId="56" applyNumberFormat="0" applyAlignment="0" applyProtection="0">
      <alignment vertical="center"/>
    </xf>
    <xf numFmtId="0" fontId="30" fillId="12" borderId="55" applyNumberFormat="0" applyAlignment="0" applyProtection="0">
      <alignment vertical="center"/>
    </xf>
    <xf numFmtId="0" fontId="31" fillId="20" borderId="57" applyNumberFormat="0" applyAlignment="0" applyProtection="0">
      <alignment vertical="center"/>
    </xf>
    <xf numFmtId="0" fontId="32" fillId="0" borderId="58" applyNumberFormat="0" applyFill="0" applyAlignment="0" applyProtection="0">
      <alignment vertical="center"/>
    </xf>
    <xf numFmtId="0" fontId="33" fillId="0" borderId="59" applyNumberFormat="0" applyFill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9" fillId="0" borderId="0" applyBorder="0" applyProtection="0"/>
    <xf numFmtId="0" fontId="40" fillId="0" borderId="0" applyBorder="0" applyProtection="0"/>
    <xf numFmtId="0" fontId="39" fillId="0" borderId="0" applyBorder="0" applyProtection="0"/>
    <xf numFmtId="0" fontId="0" fillId="0" borderId="0" applyBorder="0" applyProtection="0"/>
    <xf numFmtId="0" fontId="41" fillId="0" borderId="0" applyBorder="0" applyProtection="0"/>
    <xf numFmtId="0" fontId="42" fillId="0" borderId="0" applyBorder="0" applyProtection="0"/>
    <xf numFmtId="0" fontId="43" fillId="0" borderId="0" applyBorder="0" applyProtection="0"/>
    <xf numFmtId="0" fontId="44" fillId="0" borderId="0" applyBorder="0" applyProtection="0"/>
  </cellStyleXfs>
  <cellXfs count="171">
    <xf numFmtId="0" fontId="0" fillId="0" borderId="0" xfId="0"/>
    <xf numFmtId="0" fontId="1" fillId="2" borderId="0" xfId="0" applyFont="1" applyFill="1"/>
    <xf numFmtId="178" fontId="0" fillId="0" borderId="0" xfId="0" applyNumberFormat="1"/>
    <xf numFmtId="179" fontId="0" fillId="0" borderId="0" xfId="0" applyNumberFormat="1"/>
    <xf numFmtId="0" fontId="2" fillId="3" borderId="1" xfId="0" applyFont="1" applyFill="1" applyBorder="1" applyAlignment="1">
      <alignment horizontal="center"/>
    </xf>
    <xf numFmtId="0" fontId="3" fillId="2" borderId="2" xfId="0" applyFont="1" applyFill="1" applyBorder="1"/>
    <xf numFmtId="180" fontId="4" fillId="0" borderId="3" xfId="2" applyNumberFormat="1" applyFont="1" applyBorder="1"/>
    <xf numFmtId="0" fontId="0" fillId="2" borderId="0" xfId="0" applyFill="1"/>
    <xf numFmtId="178" fontId="4" fillId="0" borderId="0" xfId="0" applyNumberFormat="1" applyFont="1"/>
    <xf numFmtId="179" fontId="3" fillId="2" borderId="2" xfId="0" applyNumberFormat="1" applyFont="1" applyFill="1" applyBorder="1"/>
    <xf numFmtId="179" fontId="3" fillId="0" borderId="3" xfId="0" applyNumberFormat="1" applyFont="1" applyBorder="1"/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78" fontId="5" fillId="4" borderId="7" xfId="0" applyNumberFormat="1" applyFont="1" applyFill="1" applyBorder="1" applyAlignment="1">
      <alignment horizontal="center"/>
    </xf>
    <xf numFmtId="179" fontId="5" fillId="4" borderId="3" xfId="0" applyNumberFormat="1" applyFont="1" applyFill="1" applyBorder="1" applyAlignment="1">
      <alignment horizontal="center"/>
    </xf>
    <xf numFmtId="178" fontId="5" fillId="4" borderId="3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58" fontId="0" fillId="0" borderId="9" xfId="0" applyNumberFormat="1" applyBorder="1"/>
    <xf numFmtId="2" fontId="0" fillId="0" borderId="8" xfId="0" applyNumberFormat="1" applyFont="1" applyFill="1" applyBorder="1"/>
    <xf numFmtId="2" fontId="0" fillId="0" borderId="10" xfId="0" applyNumberFormat="1" applyFont="1" applyFill="1" applyBorder="1"/>
    <xf numFmtId="2" fontId="0" fillId="0" borderId="11" xfId="0" applyNumberFormat="1" applyFont="1" applyFill="1" applyBorder="1"/>
    <xf numFmtId="0" fontId="0" fillId="0" borderId="12" xfId="0" applyBorder="1"/>
    <xf numFmtId="0" fontId="0" fillId="0" borderId="13" xfId="0" applyBorder="1"/>
    <xf numFmtId="2" fontId="0" fillId="0" borderId="14" xfId="0" applyNumberFormat="1" applyFont="1" applyFill="1" applyBorder="1"/>
    <xf numFmtId="2" fontId="0" fillId="0" borderId="15" xfId="0" applyNumberFormat="1" applyFont="1" applyFill="1" applyBorder="1"/>
    <xf numFmtId="2" fontId="0" fillId="0" borderId="16" xfId="0" applyNumberFormat="1" applyFont="1" applyFill="1" applyBorder="1"/>
    <xf numFmtId="0" fontId="0" fillId="0" borderId="17" xfId="0" applyBorder="1"/>
    <xf numFmtId="0" fontId="6" fillId="5" borderId="18" xfId="0" applyFont="1" applyFill="1" applyBorder="1" applyAlignment="1">
      <alignment horizontal="center"/>
    </xf>
    <xf numFmtId="2" fontId="0" fillId="5" borderId="14" xfId="0" applyNumberFormat="1" applyFont="1" applyFill="1" applyBorder="1"/>
    <xf numFmtId="2" fontId="0" fillId="5" borderId="15" xfId="0" applyNumberFormat="1" applyFont="1" applyFill="1" applyBorder="1"/>
    <xf numFmtId="2" fontId="4" fillId="5" borderId="16" xfId="0" applyNumberFormat="1" applyFont="1" applyFill="1" applyBorder="1"/>
    <xf numFmtId="2" fontId="0" fillId="6" borderId="11" xfId="0" applyNumberFormat="1" applyFont="1" applyFill="1" applyBorder="1"/>
    <xf numFmtId="0" fontId="0" fillId="5" borderId="17" xfId="0" applyFill="1" applyBorder="1"/>
    <xf numFmtId="0" fontId="6" fillId="0" borderId="14" xfId="0" applyFont="1" applyBorder="1" applyAlignment="1">
      <alignment horizontal="center" vertical="center"/>
    </xf>
    <xf numFmtId="2" fontId="4" fillId="0" borderId="16" xfId="0" applyNumberFormat="1" applyFont="1" applyFill="1" applyBorder="1"/>
    <xf numFmtId="0" fontId="6" fillId="5" borderId="19" xfId="0" applyFont="1" applyFill="1" applyBorder="1" applyAlignment="1">
      <alignment horizontal="center"/>
    </xf>
    <xf numFmtId="2" fontId="0" fillId="5" borderId="20" xfId="0" applyNumberFormat="1" applyFont="1" applyFill="1" applyBorder="1"/>
    <xf numFmtId="2" fontId="0" fillId="5" borderId="21" xfId="0" applyNumberFormat="1" applyFont="1" applyFill="1" applyBorder="1"/>
    <xf numFmtId="2" fontId="4" fillId="5" borderId="22" xfId="0" applyNumberFormat="1" applyFont="1" applyFill="1" applyBorder="1"/>
    <xf numFmtId="0" fontId="0" fillId="5" borderId="23" xfId="0" applyFill="1" applyBorder="1"/>
    <xf numFmtId="0" fontId="0" fillId="5" borderId="24" xfId="0" applyFill="1" applyBorder="1"/>
    <xf numFmtId="0" fontId="7" fillId="7" borderId="1" xfId="0" applyFont="1" applyFill="1" applyBorder="1" applyAlignment="1">
      <alignment horizontal="center" vertical="center" wrapText="1"/>
    </xf>
    <xf numFmtId="179" fontId="7" fillId="7" borderId="3" xfId="2" applyNumberFormat="1" applyFont="1" applyFill="1" applyBorder="1" applyAlignment="1">
      <alignment horizontal="center"/>
    </xf>
    <xf numFmtId="0" fontId="7" fillId="7" borderId="25" xfId="0" applyFont="1" applyFill="1" applyBorder="1"/>
    <xf numFmtId="0" fontId="0" fillId="0" borderId="0" xfId="0" applyAlignment="1">
      <alignment horizontal="center" vertical="center"/>
    </xf>
    <xf numFmtId="0" fontId="5" fillId="4" borderId="7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58" fontId="0" fillId="0" borderId="16" xfId="0" applyNumberFormat="1" applyBorder="1"/>
    <xf numFmtId="2" fontId="0" fillId="0" borderId="27" xfId="0" applyNumberFormat="1" applyFont="1" applyFill="1" applyBorder="1"/>
    <xf numFmtId="0" fontId="0" fillId="0" borderId="17" xfId="0" applyBorder="1" applyAlignment="1">
      <alignment wrapText="1"/>
    </xf>
    <xf numFmtId="0" fontId="0" fillId="0" borderId="17" xfId="0" applyBorder="1" applyAlignment="1">
      <alignment vertical="top" wrapText="1"/>
    </xf>
    <xf numFmtId="2" fontId="0" fillId="0" borderId="28" xfId="0" applyNumberFormat="1" applyFont="1" applyFill="1" applyBorder="1"/>
    <xf numFmtId="2" fontId="8" fillId="0" borderId="27" xfId="0" applyNumberFormat="1" applyFont="1" applyFill="1" applyBorder="1"/>
    <xf numFmtId="2" fontId="8" fillId="0" borderId="15" xfId="0" applyNumberFormat="1" applyFont="1" applyFill="1" applyBorder="1"/>
    <xf numFmtId="2" fontId="0" fillId="0" borderId="29" xfId="0" applyNumberFormat="1" applyFont="1" applyFill="1" applyBorder="1"/>
    <xf numFmtId="0" fontId="9" fillId="0" borderId="17" xfId="0" applyFont="1" applyBorder="1"/>
    <xf numFmtId="0" fontId="6" fillId="5" borderId="17" xfId="0" applyFont="1" applyFill="1" applyBorder="1" applyAlignment="1">
      <alignment horizontal="center"/>
    </xf>
    <xf numFmtId="2" fontId="0" fillId="5" borderId="27" xfId="0" applyNumberFormat="1" applyFont="1" applyFill="1" applyBorder="1"/>
    <xf numFmtId="2" fontId="0" fillId="5" borderId="28" xfId="0" applyNumberFormat="1" applyFont="1" applyFill="1" applyBorder="1"/>
    <xf numFmtId="0" fontId="6" fillId="5" borderId="30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2" fontId="0" fillId="5" borderId="31" xfId="0" applyNumberFormat="1" applyFont="1" applyFill="1" applyBorder="1"/>
    <xf numFmtId="0" fontId="7" fillId="7" borderId="4" xfId="0" applyFont="1" applyFill="1" applyBorder="1" applyAlignment="1">
      <alignment horizontal="center" vertical="center" wrapText="1"/>
    </xf>
    <xf numFmtId="179" fontId="7" fillId="7" borderId="7" xfId="2" applyNumberFormat="1" applyFont="1" applyFill="1" applyBorder="1" applyAlignment="1">
      <alignment horizontal="center"/>
    </xf>
    <xf numFmtId="0" fontId="7" fillId="7" borderId="1" xfId="0" applyFont="1" applyFill="1" applyBorder="1"/>
    <xf numFmtId="58" fontId="0" fillId="0" borderId="32" xfId="0" applyNumberFormat="1" applyBorder="1"/>
    <xf numFmtId="0" fontId="8" fillId="0" borderId="17" xfId="0" applyFont="1" applyBorder="1"/>
    <xf numFmtId="0" fontId="9" fillId="2" borderId="17" xfId="0" applyFont="1" applyFill="1" applyBorder="1"/>
    <xf numFmtId="2" fontId="8" fillId="0" borderId="14" xfId="0" applyNumberFormat="1" applyFont="1" applyFill="1" applyBorder="1" applyAlignment="1">
      <alignment horizontal="center"/>
    </xf>
    <xf numFmtId="2" fontId="0" fillId="0" borderId="15" xfId="0" applyNumberFormat="1" applyFont="1" applyFill="1" applyBorder="1" applyAlignment="1">
      <alignment horizontal="center"/>
    </xf>
    <xf numFmtId="2" fontId="0" fillId="0" borderId="16" xfId="0" applyNumberFormat="1" applyFont="1" applyFill="1" applyBorder="1" applyAlignment="1">
      <alignment horizontal="center"/>
    </xf>
    <xf numFmtId="176" fontId="0" fillId="0" borderId="17" xfId="1" applyFont="1" applyBorder="1" applyAlignment="1">
      <alignment horizontal="center"/>
    </xf>
    <xf numFmtId="2" fontId="6" fillId="5" borderId="16" xfId="0" applyNumberFormat="1" applyFont="1" applyFill="1" applyBorder="1"/>
    <xf numFmtId="2" fontId="0" fillId="5" borderId="33" xfId="0" applyNumberFormat="1" applyFont="1" applyFill="1" applyBorder="1"/>
    <xf numFmtId="2" fontId="6" fillId="5" borderId="34" xfId="0" applyNumberFormat="1" applyFont="1" applyFill="1" applyBorder="1"/>
    <xf numFmtId="179" fontId="7" fillId="7" borderId="3" xfId="2" applyNumberFormat="1" applyFont="1" applyFill="1" applyBorder="1" applyAlignment="1">
      <alignment horizontal="center" vertical="center"/>
    </xf>
    <xf numFmtId="177" fontId="7" fillId="7" borderId="3" xfId="2" applyFont="1" applyFill="1" applyBorder="1" applyAlignment="1">
      <alignment vertical="center"/>
    </xf>
    <xf numFmtId="178" fontId="5" fillId="4" borderId="35" xfId="0" applyNumberFormat="1" applyFont="1" applyFill="1" applyBorder="1" applyAlignment="1">
      <alignment horizontal="center"/>
    </xf>
    <xf numFmtId="2" fontId="0" fillId="0" borderId="36" xfId="0" applyNumberFormat="1" applyFont="1" applyFill="1" applyBorder="1"/>
    <xf numFmtId="2" fontId="0" fillId="0" borderId="32" xfId="0" applyNumberFormat="1" applyFont="1" applyFill="1" applyBorder="1"/>
    <xf numFmtId="2" fontId="0" fillId="0" borderId="37" xfId="0" applyNumberFormat="1" applyFont="1" applyFill="1" applyBorder="1"/>
    <xf numFmtId="2" fontId="0" fillId="0" borderId="38" xfId="0" applyNumberFormat="1" applyFont="1" applyFill="1" applyBorder="1"/>
    <xf numFmtId="2" fontId="0" fillId="0" borderId="9" xfId="0" applyNumberFormat="1" applyFont="1" applyFill="1" applyBorder="1"/>
    <xf numFmtId="2" fontId="9" fillId="0" borderId="15" xfId="0" applyNumberFormat="1" applyFont="1" applyFill="1" applyBorder="1"/>
    <xf numFmtId="2" fontId="8" fillId="0" borderId="39" xfId="0" applyNumberFormat="1" applyFont="1" applyFill="1" applyBorder="1"/>
    <xf numFmtId="176" fontId="0" fillId="0" borderId="17" xfId="1" applyFont="1" applyBorder="1"/>
    <xf numFmtId="2" fontId="0" fillId="5" borderId="9" xfId="0" applyNumberFormat="1" applyFont="1" applyFill="1" applyBorder="1"/>
    <xf numFmtId="2" fontId="0" fillId="5" borderId="37" xfId="0" applyNumberFormat="1" applyFont="1" applyFill="1" applyBorder="1"/>
    <xf numFmtId="2" fontId="4" fillId="5" borderId="29" xfId="0" applyNumberFormat="1" applyFont="1" applyFill="1" applyBorder="1"/>
    <xf numFmtId="2" fontId="0" fillId="6" borderId="15" xfId="0" applyNumberFormat="1" applyFont="1" applyFill="1" applyBorder="1"/>
    <xf numFmtId="2" fontId="0" fillId="2" borderId="16" xfId="0" applyNumberFormat="1" applyFont="1" applyFill="1" applyBorder="1"/>
    <xf numFmtId="0" fontId="7" fillId="7" borderId="2" xfId="0" applyFont="1" applyFill="1" applyBorder="1" applyAlignment="1">
      <alignment horizontal="center" vertical="center" wrapText="1"/>
    </xf>
    <xf numFmtId="179" fontId="7" fillId="7" borderId="1" xfId="2" applyNumberFormat="1" applyFont="1" applyFill="1" applyBorder="1" applyAlignment="1">
      <alignment horizontal="center"/>
    </xf>
    <xf numFmtId="0" fontId="6" fillId="2" borderId="2" xfId="0" applyFont="1" applyFill="1" applyBorder="1"/>
    <xf numFmtId="180" fontId="6" fillId="0" borderId="3" xfId="2" applyNumberFormat="1" applyFont="1" applyBorder="1"/>
    <xf numFmtId="178" fontId="6" fillId="0" borderId="0" xfId="0" applyNumberFormat="1" applyFont="1"/>
    <xf numFmtId="179" fontId="6" fillId="2" borderId="2" xfId="0" applyNumberFormat="1" applyFont="1" applyFill="1" applyBorder="1"/>
    <xf numFmtId="179" fontId="6" fillId="0" borderId="3" xfId="0" applyNumberFormat="1" applyFont="1" applyBorder="1"/>
    <xf numFmtId="0" fontId="6" fillId="0" borderId="40" xfId="0" applyFont="1" applyBorder="1" applyAlignment="1">
      <alignment horizontal="center" vertical="center"/>
    </xf>
    <xf numFmtId="58" fontId="0" fillId="0" borderId="41" xfId="0" applyNumberFormat="1" applyBorder="1"/>
    <xf numFmtId="2" fontId="0" fillId="0" borderId="11" xfId="0" applyNumberFormat="1" applyFont="1" applyFill="1" applyBorder="1" applyAlignment="1">
      <alignment horizontal="right"/>
    </xf>
    <xf numFmtId="2" fontId="0" fillId="6" borderId="11" xfId="0" applyNumberFormat="1" applyFont="1" applyFill="1" applyBorder="1" applyAlignment="1">
      <alignment horizontal="right"/>
    </xf>
    <xf numFmtId="0" fontId="10" fillId="0" borderId="17" xfId="0" applyFont="1" applyBorder="1"/>
    <xf numFmtId="2" fontId="0" fillId="5" borderId="42" xfId="0" applyNumberFormat="1" applyFont="1" applyFill="1" applyBorder="1"/>
    <xf numFmtId="2" fontId="0" fillId="5" borderId="34" xfId="0" applyNumberFormat="1" applyFont="1" applyFill="1" applyBorder="1"/>
    <xf numFmtId="181" fontId="0" fillId="0" borderId="0" xfId="0" applyNumberFormat="1"/>
    <xf numFmtId="182" fontId="0" fillId="0" borderId="0" xfId="0" applyNumberFormat="1"/>
    <xf numFmtId="0" fontId="11" fillId="0" borderId="1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58" fontId="12" fillId="0" borderId="15" xfId="0" applyNumberFormat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2" fontId="12" fillId="0" borderId="15" xfId="0" applyNumberFormat="1" applyFont="1" applyFill="1" applyBorder="1" applyAlignment="1">
      <alignment horizontal="right" vertical="center" wrapText="1"/>
    </xf>
    <xf numFmtId="182" fontId="0" fillId="0" borderId="15" xfId="0" applyNumberFormat="1" applyFont="1" applyFill="1" applyBorder="1"/>
    <xf numFmtId="180" fontId="0" fillId="0" borderId="0" xfId="0" applyNumberFormat="1"/>
    <xf numFmtId="2" fontId="0" fillId="8" borderId="15" xfId="0" applyNumberFormat="1" applyFont="1" applyFill="1" applyBorder="1"/>
    <xf numFmtId="2" fontId="8" fillId="0" borderId="15" xfId="0" applyNumberFormat="1" applyFont="1" applyFill="1" applyBorder="1" applyAlignment="1">
      <alignment horizontal="center"/>
    </xf>
    <xf numFmtId="2" fontId="0" fillId="0" borderId="15" xfId="0" applyNumberFormat="1" applyFont="1" applyFill="1" applyBorder="1" applyAlignment="1">
      <alignment horizontal="right"/>
    </xf>
    <xf numFmtId="2" fontId="8" fillId="0" borderId="15" xfId="0" applyNumberFormat="1" applyFont="1" applyFill="1" applyBorder="1" applyAlignment="1">
      <alignment horizontal="right"/>
    </xf>
    <xf numFmtId="58" fontId="0" fillId="0" borderId="0" xfId="0" applyNumberFormat="1"/>
    <xf numFmtId="0" fontId="12" fillId="0" borderId="0" xfId="0" applyFont="1" applyAlignment="1">
      <alignment horizontal="center" vertical="center" wrapText="1"/>
    </xf>
    <xf numFmtId="0" fontId="13" fillId="9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3" fillId="9" borderId="0" xfId="0" applyNumberFormat="1" applyFont="1" applyFill="1" applyBorder="1" applyAlignment="1">
      <alignment horizontal="center" vertical="center"/>
    </xf>
    <xf numFmtId="0" fontId="14" fillId="10" borderId="0" xfId="0" applyNumberFormat="1" applyFont="1" applyFill="1" applyBorder="1" applyAlignment="1">
      <alignment horizontal="center"/>
    </xf>
    <xf numFmtId="0" fontId="15" fillId="11" borderId="0" xfId="0" applyNumberFormat="1" applyFont="1" applyFill="1" applyBorder="1" applyAlignment="1">
      <alignment horizontal="center" vertical="center"/>
    </xf>
    <xf numFmtId="0" fontId="6" fillId="12" borderId="0" xfId="0" applyNumberFormat="1" applyFont="1" applyFill="1" applyBorder="1"/>
    <xf numFmtId="180" fontId="6" fillId="13" borderId="0" xfId="0" applyNumberFormat="1" applyFont="1" applyFill="1" applyBorder="1"/>
    <xf numFmtId="183" fontId="6" fillId="13" borderId="0" xfId="0" applyNumberFormat="1" applyFont="1" applyFill="1" applyBorder="1"/>
    <xf numFmtId="1" fontId="6" fillId="13" borderId="0" xfId="0" applyNumberFormat="1" applyFont="1" applyFill="1" applyBorder="1"/>
    <xf numFmtId="0" fontId="6" fillId="13" borderId="0" xfId="0" applyNumberFormat="1" applyFont="1" applyFill="1" applyBorder="1"/>
    <xf numFmtId="180" fontId="0" fillId="0" borderId="0" xfId="0" applyNumberFormat="1" applyFont="1" applyFill="1" applyBorder="1"/>
    <xf numFmtId="183" fontId="0" fillId="0" borderId="0" xfId="0" applyNumberFormat="1" applyFont="1" applyFill="1" applyBorder="1"/>
    <xf numFmtId="0" fontId="0" fillId="14" borderId="43" xfId="0" applyFont="1" applyFill="1" applyBorder="1"/>
    <xf numFmtId="180" fontId="0" fillId="14" borderId="44" xfId="0" applyNumberFormat="1" applyFont="1" applyFill="1" applyBorder="1"/>
    <xf numFmtId="183" fontId="0" fillId="14" borderId="45" xfId="0" applyNumberFormat="1" applyFont="1" applyFill="1" applyBorder="1"/>
    <xf numFmtId="0" fontId="0" fillId="0" borderId="43" xfId="0" applyFont="1" applyBorder="1"/>
    <xf numFmtId="180" fontId="0" fillId="0" borderId="44" xfId="0" applyNumberFormat="1" applyFont="1" applyBorder="1"/>
    <xf numFmtId="183" fontId="0" fillId="0" borderId="45" xfId="0" applyNumberFormat="1" applyFont="1" applyBorder="1"/>
    <xf numFmtId="0" fontId="0" fillId="0" borderId="46" xfId="0" applyFont="1" applyBorder="1"/>
    <xf numFmtId="180" fontId="0" fillId="0" borderId="47" xfId="0" applyNumberFormat="1" applyFont="1" applyBorder="1"/>
    <xf numFmtId="183" fontId="0" fillId="0" borderId="48" xfId="0" applyNumberFormat="1" applyFont="1" applyBorder="1"/>
    <xf numFmtId="0" fontId="0" fillId="0" borderId="0" xfId="0" applyBorder="1"/>
    <xf numFmtId="0" fontId="0" fillId="0" borderId="0" xfId="0" applyAlignment="1"/>
    <xf numFmtId="0" fontId="16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/>
    <xf numFmtId="0" fontId="0" fillId="16" borderId="0" xfId="0" applyFill="1" applyBorder="1" applyAlignment="1"/>
    <xf numFmtId="0" fontId="15" fillId="17" borderId="15" xfId="0" applyNumberFormat="1" applyFont="1" applyFill="1" applyBorder="1" applyAlignment="1">
      <alignment horizontal="center" vertical="center"/>
    </xf>
    <xf numFmtId="0" fontId="15" fillId="17" borderId="49" xfId="0" applyNumberFormat="1" applyFont="1" applyFill="1" applyBorder="1" applyAlignment="1">
      <alignment horizontal="center" vertical="center"/>
    </xf>
    <xf numFmtId="0" fontId="15" fillId="17" borderId="50" xfId="0" applyNumberFormat="1" applyFont="1" applyFill="1" applyBorder="1" applyAlignment="1">
      <alignment horizontal="center" vertical="center"/>
    </xf>
    <xf numFmtId="0" fontId="15" fillId="17" borderId="42" xfId="0" applyNumberFormat="1" applyFont="1" applyFill="1" applyBorder="1" applyAlignment="1">
      <alignment horizontal="center" vertical="center"/>
    </xf>
    <xf numFmtId="0" fontId="15" fillId="17" borderId="15" xfId="0" applyNumberFormat="1" applyFont="1" applyFill="1" applyBorder="1" applyAlignment="1">
      <alignment horizontal="center" vertical="center" wrapText="1"/>
    </xf>
    <xf numFmtId="0" fontId="15" fillId="17" borderId="32" xfId="0" applyNumberFormat="1" applyFont="1" applyFill="1" applyBorder="1" applyAlignment="1">
      <alignment horizontal="center" vertical="center"/>
    </xf>
    <xf numFmtId="0" fontId="15" fillId="17" borderId="51" xfId="0" applyNumberFormat="1" applyFont="1" applyFill="1" applyBorder="1" applyAlignment="1">
      <alignment horizontal="center" vertical="center"/>
    </xf>
    <xf numFmtId="0" fontId="15" fillId="17" borderId="36" xfId="0" applyNumberFormat="1" applyFont="1" applyFill="1" applyBorder="1" applyAlignment="1">
      <alignment horizontal="center" vertical="center"/>
    </xf>
    <xf numFmtId="180" fontId="17" fillId="16" borderId="0" xfId="0" applyNumberFormat="1" applyFont="1" applyFill="1" applyAlignment="1">
      <alignment horizontal="center" vertical="center"/>
    </xf>
    <xf numFmtId="184" fontId="17" fillId="16" borderId="0" xfId="0" applyNumberFormat="1" applyFont="1" applyFill="1" applyAlignment="1">
      <alignment horizontal="center" vertical="center"/>
    </xf>
    <xf numFmtId="0" fontId="18" fillId="16" borderId="0" xfId="0" applyNumberFormat="1" applyFont="1" applyFill="1" applyBorder="1" applyAlignment="1">
      <alignment horizontal="center" vertical="center"/>
    </xf>
    <xf numFmtId="0" fontId="18" fillId="16" borderId="0" xfId="0" applyNumberFormat="1" applyFont="1" applyFill="1" applyAlignment="1">
      <alignment horizontal="center" vertical="center"/>
    </xf>
    <xf numFmtId="0" fontId="0" fillId="16" borderId="0" xfId="0" applyFill="1" applyAlignment="1">
      <alignment horizontal="center"/>
    </xf>
    <xf numFmtId="0" fontId="0" fillId="0" borderId="0" xfId="0" applyBorder="1" applyAlignment="1"/>
    <xf numFmtId="180" fontId="17" fillId="16" borderId="0" xfId="0" applyNumberFormat="1" applyFont="1" applyFill="1" applyBorder="1" applyAlignment="1">
      <alignment horizontal="center" vertical="center"/>
    </xf>
    <xf numFmtId="184" fontId="17" fillId="16" borderId="0" xfId="0" applyNumberFormat="1" applyFont="1" applyFill="1" applyBorder="1" applyAlignment="1">
      <alignment horizontal="center" vertical="center"/>
    </xf>
    <xf numFmtId="0" fontId="0" fillId="16" borderId="0" xfId="0" applyFill="1" applyBorder="1" applyAlignment="1">
      <alignment horizontal="center"/>
    </xf>
    <xf numFmtId="180" fontId="0" fillId="0" borderId="0" xfId="0" applyNumberFormat="1" applyBorder="1"/>
    <xf numFmtId="0" fontId="0" fillId="2" borderId="0" xfId="0" applyFill="1" applyAlignment="1"/>
    <xf numFmtId="0" fontId="0" fillId="0" borderId="0" xfId="0" applyAlignment="1">
      <alignment horizontal="left" indent="1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Untitled1" xfId="49"/>
    <cellStyle name="Untitled2" xfId="50"/>
    <cellStyle name="Untitled3" xfId="51"/>
    <cellStyle name="Untitled4" xfId="52"/>
    <cellStyle name="Untitled5" xfId="53"/>
    <cellStyle name="Untitled6" xfId="54"/>
    <cellStyle name="Untitled7" xfId="55"/>
    <cellStyle name="Untitled8" xfId="56"/>
  </cellStyles>
  <dxfs count="77">
    <dxf>
      <border>
        <left/>
        <right/>
        <top/>
        <bottom/>
      </border>
    </dxf>
    <dxf>
      <border>
        <left/>
        <right/>
        <top/>
        <bottom/>
      </border>
    </dxf>
    <dxf/>
    <dxf/>
    <dxf>
      <border>
        <left/>
        <right/>
        <top/>
        <bottom/>
      </border>
    </dxf>
    <dxf/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/>
        <right/>
        <top/>
        <bottom/>
      </border>
    </dxf>
    <dxf>
      <border>
        <left/>
        <right/>
        <top/>
        <bottom/>
      </border>
    </dxf>
    <dxf/>
    <dxf/>
    <dxf>
      <border>
        <bottom/>
      </border>
    </dxf>
    <dxf>
      <border>
        <bottom/>
      </border>
    </dxf>
    <dxf>
      <border>
        <top/>
      </border>
    </dxf>
    <dxf>
      <border>
        <top/>
      </border>
    </dxf>
    <dxf>
      <border>
        <bottom/>
      </border>
    </dxf>
    <dxf>
      <border>
        <bottom/>
      </border>
    </dxf>
    <dxf>
      <border>
        <top/>
      </border>
    </dxf>
    <dxf>
      <border>
        <top/>
      </border>
    </dxf>
    <dxf>
      <border>
        <left/>
        <right/>
        <top/>
        <bottom/>
      </border>
    </dxf>
    <dxf>
      <border>
        <left/>
        <right/>
        <top/>
        <bottom/>
      </border>
    </dxf>
    <dxf/>
    <dxf/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/>
    <dxf/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/>
    <dxf/>
    <dxf>
      <font>
        <name val="Calibri"/>
        <scheme val="none"/>
        <charset val="134"/>
        <family val="0"/>
        <b val="1"/>
        <i val="0"/>
        <strike val="0"/>
        <u val="none"/>
        <sz val="11"/>
        <color theme="1"/>
      </font>
      <numFmt numFmtId="0" formatCode="General"/>
      <fill>
        <patternFill patternType="solid">
          <bgColor rgb="FFF2F2F2"/>
        </patternFill>
      </fill>
      <border>
        <left/>
        <right/>
        <top/>
        <bottom/>
      </border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1"/>
      </font>
      <numFmt numFmtId="0" formatCode="General"/>
      <fill>
        <patternFill patternType="solid">
          <bgColor rgb="FFFFFFFF"/>
        </patternFill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&quot;$&quot;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&quot;$&quot;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&quot;$&quot;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3" formatCode="0.0%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&quot;$&quot;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3" formatCode="0.0%"/>
      <fill>
        <patternFill patternType="none"/>
      </fill>
      <border>
        <left/>
        <right/>
        <top/>
        <bottom/>
      </border>
    </dxf>
    <dxf>
      <font>
        <color rgb="FFB91C1C"/>
      </font>
    </dxf>
    <dxf>
      <font>
        <color rgb="FF15803D"/>
      </font>
    </dxf>
    <dxf>
      <numFmt numFmtId="182" formatCode="[$$-1409]#,##0.00;\-[$$-1409]#,##0.00"/>
    </dxf>
    <dxf>
      <numFmt numFmtId="182" formatCode="[$$-1409]#,##0.00;\-[$$-1409]#,##0.00"/>
    </dxf>
    <dxf>
      <numFmt numFmtId="182" formatCode="[$$-1409]#,##0.00;\-[$$-1409]#,##0.00"/>
    </dxf>
    <dxf>
      <numFmt numFmtId="180" formatCode="&quot;$&quot;#,##0.00"/>
    </dxf>
    <dxf>
      <font>
        <b val="1"/>
        <color rgb="FFFF4000"/>
      </font>
    </dxf>
    <dxf>
      <font>
        <b val="1"/>
        <color rgb="FF00B050"/>
      </font>
    </dxf>
    <dxf>
      <font>
        <b val="1"/>
        <color rgb="FF00B050"/>
      </font>
      <fill>
        <patternFill patternType="solid">
          <bgColor theme="0"/>
        </patternFill>
      </fill>
    </dxf>
    <dxf>
      <font>
        <b val="1"/>
        <color rgb="FFFF0000"/>
      </font>
      <fill>
        <patternFill patternType="solid">
          <bgColor theme="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6"/>
      <tableStyleElement type="headerRow" dxfId="65"/>
      <tableStyleElement type="totalRow" dxfId="64"/>
      <tableStyleElement type="firstColumn" dxfId="63"/>
      <tableStyleElement type="lastColumn" dxfId="62"/>
      <tableStyleElement type="firstRowStripe" dxfId="61"/>
      <tableStyleElement type="firstColumnStripe" dxfId="60"/>
    </tableStyle>
    <tableStyle name="PivotStylePreset2_Accent1" table="0" count="10" xr9:uid="{267968C8-6FFD-4C36-ACC1-9EA1FD1885CA}">
      <tableStyleElement type="headerRow" dxfId="76"/>
      <tableStyleElement type="totalRow" dxfId="75"/>
      <tableStyleElement type="firstRowStripe" dxfId="74"/>
      <tableStyleElement type="firstColumnStripe" dxfId="73"/>
      <tableStyleElement type="firstSubtotalRow" dxfId="72"/>
      <tableStyleElement type="secondSubtotalRow" dxfId="71"/>
      <tableStyleElement type="firstRowSubheading" dxfId="70"/>
      <tableStyleElement type="secondRowSubheading" dxfId="69"/>
      <tableStyleElement type="pageFieldLabels" dxfId="68"/>
      <tableStyleElement type="pageFieldValues" dxfId="6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A933"/>
      <rgbColor rgb="00000080"/>
      <rgbColor rgb="00808000"/>
      <rgbColor rgb="00800080"/>
      <rgbColor rgb="00158466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4C7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5E0B4"/>
      <rgbColor rgb="00FFFF99"/>
      <rgbColor rgb="0099CCFF"/>
      <rgbColor rgb="00FF99CC"/>
      <rgbColor rgb="00CC99FF"/>
      <rgbColor rgb="00D0CECE"/>
      <rgbColor rgb="003366FF"/>
      <rgbColor rgb="0033CCCC"/>
      <rgbColor rgb="0092D050"/>
      <rgbColor rgb="00FFCC00"/>
      <rgbColor rgb="00FF9900"/>
      <rgbColor rgb="00FF40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9" Type="http://schemas.microsoft.com/office/2007/relationships/slicerCache" Target="slicerCaches/slicerCache2.xml"/><Relationship Id="rId18" Type="http://schemas.microsoft.com/office/2007/relationships/slicerCache" Target="slicerCaches/slicerCache1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[Income_Report_2026_Dashboard.xlsx]Dashboard!PivotTable3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Income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Dashboard!$V$8</c:f>
              <c:strCache>
                <c:ptCount val="1"/>
                <c:pt idx="0">
                  <c:v>Sum of Target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Dashboard!$U$9:$U$21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Dashboard!$V$9:$V$21</c:f>
              <c:numCache>
                <c:formatCode>General</c:formatCode>
                <c:ptCount val="12"/>
                <c:pt idx="0">
                  <c:v>9300</c:v>
                </c:pt>
                <c:pt idx="1">
                  <c:v>8400</c:v>
                </c:pt>
                <c:pt idx="2">
                  <c:v>9300</c:v>
                </c:pt>
                <c:pt idx="3">
                  <c:v>9000</c:v>
                </c:pt>
                <c:pt idx="4">
                  <c:v>9300</c:v>
                </c:pt>
                <c:pt idx="5">
                  <c:v>9000</c:v>
                </c:pt>
                <c:pt idx="6">
                  <c:v>9300</c:v>
                </c:pt>
                <c:pt idx="7">
                  <c:v>9300</c:v>
                </c:pt>
                <c:pt idx="8">
                  <c:v>9000</c:v>
                </c:pt>
                <c:pt idx="9">
                  <c:v>9300</c:v>
                </c:pt>
                <c:pt idx="10">
                  <c:v>9000</c:v>
                </c:pt>
                <c:pt idx="11">
                  <c:v>9300</c:v>
                </c:pt>
              </c:numCache>
            </c:numRef>
          </c:val>
        </c:ser>
        <c:ser>
          <c:idx val="1"/>
          <c:order val="1"/>
          <c:tx>
            <c:strRef>
              <c:f>Dashboard!$W$8</c:f>
              <c:strCache>
                <c:ptCount val="1"/>
                <c:pt idx="0">
                  <c:v>Sum of Total Income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Dashboard!$U$9:$U$21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Dashboard!$W$9:$W$21</c:f>
              <c:numCache>
                <c:formatCode>General</c:formatCode>
                <c:ptCount val="12"/>
                <c:pt idx="0">
                  <c:v>5649</c:v>
                </c:pt>
                <c:pt idx="1">
                  <c:v>6939.5</c:v>
                </c:pt>
                <c:pt idx="2">
                  <c:v>7465.5</c:v>
                </c:pt>
                <c:pt idx="3">
                  <c:v>7234</c:v>
                </c:pt>
                <c:pt idx="4">
                  <c:v>5839.5</c:v>
                </c:pt>
                <c:pt idx="5">
                  <c:v>6426.5</c:v>
                </c:pt>
                <c:pt idx="6">
                  <c:v>7881</c:v>
                </c:pt>
                <c:pt idx="7">
                  <c:v>6718</c:v>
                </c:pt>
                <c:pt idx="8">
                  <c:v>7167</c:v>
                </c:pt>
                <c:pt idx="9">
                  <c:v>7725</c:v>
                </c:pt>
                <c:pt idx="10">
                  <c:v>7496.5</c:v>
                </c:pt>
                <c:pt idx="11">
                  <c:v>7983.5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984607752"/>
        <c:axId val="1984609800"/>
      </c:barChart>
      <c:catAx>
        <c:axId val="198460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4609800"/>
        <c:crosses val="autoZero"/>
        <c:auto val="1"/>
        <c:lblAlgn val="ctr"/>
        <c:lblOffset val="100"/>
        <c:noMultiLvlLbl val="0"/>
      </c:catAx>
      <c:valAx>
        <c:axId val="198460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460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47d1c5-4c54-4210-af14-444f195764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[Income_Report_2026_Dashboard.xlsx]Dashboard!PivotTable5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Income by Day</a:t>
            </a:r>
          </a:p>
        </c:rich>
      </c:tx>
      <c:layout>
        <c:manualLayout>
          <c:xMode val="edge"/>
          <c:yMode val="edge"/>
          <c:x val="0.365897901010625"/>
          <c:y val="0.027094152178821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2524347487339"/>
          <c:y val="0.149119448698315"/>
          <c:w val="0.796442020516816"/>
          <c:h val="0.6752297090352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Dashboard!$V$28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Dashboard!$U$29:$U$36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Dashboard!$V$29:$V$36</c:f>
              <c:numCache>
                <c:formatCode>General</c:formatCode>
                <c:ptCount val="7"/>
                <c:pt idx="0">
                  <c:v>0</c:v>
                </c:pt>
                <c:pt idx="1">
                  <c:v>16804.5</c:v>
                </c:pt>
                <c:pt idx="2">
                  <c:v>16169.5</c:v>
                </c:pt>
                <c:pt idx="3">
                  <c:v>16455.5</c:v>
                </c:pt>
                <c:pt idx="4">
                  <c:v>14851</c:v>
                </c:pt>
                <c:pt idx="5">
                  <c:v>20244.5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97473544"/>
        <c:axId val="97475592"/>
      </c:barChart>
      <c:catAx>
        <c:axId val="97473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475592"/>
        <c:crosses val="autoZero"/>
        <c:auto val="1"/>
        <c:lblAlgn val="ctr"/>
        <c:lblOffset val="100"/>
        <c:noMultiLvlLbl val="0"/>
      </c:catAx>
      <c:valAx>
        <c:axId val="97475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47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7bcbda-ee59-47ff-b7d4-fbf0f1f055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[Income_Report_2026_Dashboard.xlsx]Dashboard!PivotTable6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Actual vs Target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Dashboard!$V$39</c:f>
              <c:strCache>
                <c:ptCount val="1"/>
                <c:pt idx="0">
                  <c:v>Sum of Target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Dashboard!$U$40:$U$52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Dashboard!$V$40:$V$52</c:f>
              <c:numCache>
                <c:formatCode>General</c:formatCode>
                <c:ptCount val="12"/>
                <c:pt idx="0">
                  <c:v>9300</c:v>
                </c:pt>
                <c:pt idx="1">
                  <c:v>8400</c:v>
                </c:pt>
                <c:pt idx="2">
                  <c:v>9300</c:v>
                </c:pt>
                <c:pt idx="3">
                  <c:v>9000</c:v>
                </c:pt>
                <c:pt idx="4">
                  <c:v>9300</c:v>
                </c:pt>
                <c:pt idx="5">
                  <c:v>9000</c:v>
                </c:pt>
                <c:pt idx="6">
                  <c:v>9300</c:v>
                </c:pt>
                <c:pt idx="7">
                  <c:v>9300</c:v>
                </c:pt>
                <c:pt idx="8">
                  <c:v>9000</c:v>
                </c:pt>
                <c:pt idx="9">
                  <c:v>9300</c:v>
                </c:pt>
                <c:pt idx="10">
                  <c:v>9000</c:v>
                </c:pt>
                <c:pt idx="11">
                  <c:v>9300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694408"/>
        <c:axId val="1574696456"/>
      </c:barChart>
      <c:lineChart>
        <c:grouping val="standard"/>
        <c:varyColors val="0"/>
        <c:ser>
          <c:idx val="1"/>
          <c:order val="1"/>
          <c:tx>
            <c:strRef>
              <c:f>Dashboard!$W$39</c:f>
              <c:strCache>
                <c:ptCount val="1"/>
                <c:pt idx="0">
                  <c:v>Sum of Total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Dashboard!$U$40:$U$52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Dashboard!$W$40:$W$52</c:f>
              <c:numCache>
                <c:formatCode>General</c:formatCode>
                <c:ptCount val="12"/>
                <c:pt idx="0">
                  <c:v>5649</c:v>
                </c:pt>
                <c:pt idx="1">
                  <c:v>6939.5</c:v>
                </c:pt>
                <c:pt idx="2">
                  <c:v>7465.5</c:v>
                </c:pt>
                <c:pt idx="3">
                  <c:v>7234</c:v>
                </c:pt>
                <c:pt idx="4">
                  <c:v>5839.5</c:v>
                </c:pt>
                <c:pt idx="5">
                  <c:v>6426.5</c:v>
                </c:pt>
                <c:pt idx="6">
                  <c:v>7881</c:v>
                </c:pt>
                <c:pt idx="7">
                  <c:v>6718</c:v>
                </c:pt>
                <c:pt idx="8">
                  <c:v>7167</c:v>
                </c:pt>
                <c:pt idx="9">
                  <c:v>7725</c:v>
                </c:pt>
                <c:pt idx="10">
                  <c:v>7496.5</c:v>
                </c:pt>
                <c:pt idx="11">
                  <c:v>7983.5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74694408"/>
        <c:axId val="1574696456"/>
      </c:lineChart>
      <c:catAx>
        <c:axId val="1574694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4696456"/>
        <c:crosses val="autoZero"/>
        <c:auto val="1"/>
        <c:lblAlgn val="ctr"/>
        <c:lblOffset val="100"/>
        <c:noMultiLvlLbl val="0"/>
      </c:catAx>
      <c:valAx>
        <c:axId val="157469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4694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4a6a991-905e-48fd-bd98-b8ece4fad5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[Income_Report_2026_Dashboard.xlsx]Dashboard!PivotTable2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Income by Payment Method</a:t>
            </a:r>
          </a:p>
        </c:rich>
      </c:tx>
      <c:layout>
        <c:manualLayout>
          <c:xMode val="edge"/>
          <c:yMode val="edge"/>
          <c:x val="0.25448993790327"/>
          <c:y val="0.050306584805154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Dashboard!$Z$19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1">
                    <a:lumMod val="50000"/>
                    <a:alpha val="30000"/>
                  </a:schemeClr>
                </a:outerShdw>
              </a:effectLst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2">
                    <a:lumMod val="50000"/>
                    <a:alpha val="30000"/>
                  </a:schemeClr>
                </a:outerShdw>
              </a:effectLst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3">
                    <a:lumMod val="50000"/>
                    <a:alpha val="30000"/>
                  </a:schemeClr>
                </a:outerShdw>
              </a:effectLst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4">
                    <a:lumMod val="50000"/>
                    <a:alpha val="30000"/>
                  </a:schemeClr>
                </a:outerShdw>
              </a:effectLst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>
                <a:outerShdw blurRad="76200" dist="25400" dir="2700000" algn="tl" rotWithShape="0">
                  <a:schemeClr val="accent5">
                    <a:lumMod val="50000"/>
                    <a:alpha val="30000"/>
                  </a:schemeClr>
                </a:outerShdw>
              </a:effectLst>
            </c:spPr>
          </c:dPt>
          <c:dLbls>
            <c:delete val="1"/>
          </c:dLbls>
          <c:cat>
            <c:strRef>
              <c:f>Dashboard!$Y$20:$Y$25</c:f>
              <c:strCache>
                <c:ptCount val="5"/>
                <c:pt idx="0">
                  <c:v>Cash</c:v>
                </c:pt>
                <c:pt idx="1">
                  <c:v>Eftpos Offline</c:v>
                </c:pt>
                <c:pt idx="2">
                  <c:v>Eftpos Online</c:v>
                </c:pt>
                <c:pt idx="3">
                  <c:v>GiftCard</c:v>
                </c:pt>
                <c:pt idx="4">
                  <c:v>Internet Banking</c:v>
                </c:pt>
              </c:strCache>
            </c:strRef>
          </c:cat>
          <c:val>
            <c:numRef>
              <c:f>Dashboard!$Z$20:$Z$25</c:f>
              <c:numCache>
                <c:formatCode>"$"#,##0.00</c:formatCode>
                <c:ptCount val="5"/>
                <c:pt idx="0">
                  <c:v>15149.5</c:v>
                </c:pt>
                <c:pt idx="1">
                  <c:v>17249.5</c:v>
                </c:pt>
                <c:pt idx="2">
                  <c:v>38015.5</c:v>
                </c:pt>
                <c:pt idx="3">
                  <c:v>2618</c:v>
                </c:pt>
                <c:pt idx="4">
                  <c:v>11492.5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bc1d28-16e5-4a2c-a6ae-a6e8da562b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3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33020</xdr:colOff>
      <xdr:row>20</xdr:row>
      <xdr:rowOff>194310</xdr:rowOff>
    </xdr:from>
    <xdr:to>
      <xdr:col>18</xdr:col>
      <xdr:colOff>444500</xdr:colOff>
      <xdr:row>39</xdr:row>
      <xdr:rowOff>142240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64315" y="4631055"/>
              <a:ext cx="1874520" cy="4001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20320</xdr:colOff>
      <xdr:row>10</xdr:row>
      <xdr:rowOff>17145</xdr:rowOff>
    </xdr:from>
    <xdr:to>
      <xdr:col>18</xdr:col>
      <xdr:colOff>423545</xdr:colOff>
      <xdr:row>18</xdr:row>
      <xdr:rowOff>179070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Quart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rt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51615" y="2320290"/>
              <a:ext cx="1866265" cy="1868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422910</xdr:colOff>
      <xdr:row>9</xdr:row>
      <xdr:rowOff>185420</xdr:rowOff>
    </xdr:from>
    <xdr:to>
      <xdr:col>7</xdr:col>
      <xdr:colOff>897255</xdr:colOff>
      <xdr:row>24</xdr:row>
      <xdr:rowOff>40005</xdr:rowOff>
    </xdr:to>
    <xdr:graphicFrame>
      <xdr:nvGraphicFramePr>
        <xdr:cNvPr id="2" name="Chart 1"/>
        <xdr:cNvGraphicFramePr/>
      </xdr:nvGraphicFramePr>
      <xdr:xfrm>
        <a:off x="810260" y="2164715"/>
        <a:ext cx="4954905" cy="3165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475615</xdr:colOff>
      <xdr:row>25</xdr:row>
      <xdr:rowOff>131445</xdr:rowOff>
    </xdr:from>
    <xdr:to>
      <xdr:col>7</xdr:col>
      <xdr:colOff>903605</xdr:colOff>
      <xdr:row>39</xdr:row>
      <xdr:rowOff>121920</xdr:rowOff>
    </xdr:to>
    <xdr:graphicFrame>
      <xdr:nvGraphicFramePr>
        <xdr:cNvPr id="5" name="Chart 4"/>
        <xdr:cNvGraphicFramePr/>
      </xdr:nvGraphicFramePr>
      <xdr:xfrm>
        <a:off x="862965" y="5634990"/>
        <a:ext cx="4908550" cy="2977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413385</xdr:colOff>
      <xdr:row>25</xdr:row>
      <xdr:rowOff>178435</xdr:rowOff>
    </xdr:from>
    <xdr:to>
      <xdr:col>15</xdr:col>
      <xdr:colOff>280670</xdr:colOff>
      <xdr:row>39</xdr:row>
      <xdr:rowOff>186690</xdr:rowOff>
    </xdr:to>
    <xdr:graphicFrame>
      <xdr:nvGraphicFramePr>
        <xdr:cNvPr id="3" name="Chart 2"/>
        <xdr:cNvGraphicFramePr/>
      </xdr:nvGraphicFramePr>
      <xdr:xfrm>
        <a:off x="6307455" y="5681980"/>
        <a:ext cx="4916805" cy="2995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339090</xdr:colOff>
      <xdr:row>9</xdr:row>
      <xdr:rowOff>192405</xdr:rowOff>
    </xdr:from>
    <xdr:to>
      <xdr:col>15</xdr:col>
      <xdr:colOff>217805</xdr:colOff>
      <xdr:row>24</xdr:row>
      <xdr:rowOff>54610</xdr:rowOff>
    </xdr:to>
    <xdr:graphicFrame>
      <xdr:nvGraphicFramePr>
        <xdr:cNvPr id="6" name="Chart 5"/>
        <xdr:cNvGraphicFramePr/>
      </xdr:nvGraphicFramePr>
      <xdr:xfrm>
        <a:off x="6233160" y="2171700"/>
        <a:ext cx="4928235" cy="3173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dril/Desktop/Income_Report_2026_Dashboard_Summar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  <sheetName val="Full_Data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Summary"/>
      <sheetName val="Summary (2)"/>
    </sheetNames>
    <sheetDataSet>
      <sheetData sheetId="0"/>
      <sheetData sheetId="1">
        <row r="2">
          <cell r="B2" t="str">
            <v>January</v>
          </cell>
        </row>
        <row r="2">
          <cell r="D2" t="str">
            <v>Q1</v>
          </cell>
        </row>
        <row r="2">
          <cell r="F2" t="str">
            <v>Thursday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300</v>
          </cell>
        </row>
        <row r="3">
          <cell r="B3" t="str">
            <v>January</v>
          </cell>
        </row>
        <row r="3">
          <cell r="D3" t="str">
            <v>Q1</v>
          </cell>
        </row>
        <row r="3">
          <cell r="F3" t="str">
            <v>Friday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300</v>
          </cell>
        </row>
        <row r="4">
          <cell r="B4" t="str">
            <v>January</v>
          </cell>
        </row>
        <row r="4">
          <cell r="D4" t="str">
            <v>Q1</v>
          </cell>
        </row>
        <row r="4">
          <cell r="F4" t="str">
            <v>Saturday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300</v>
          </cell>
        </row>
        <row r="5">
          <cell r="B5" t="str">
            <v>January</v>
          </cell>
        </row>
        <row r="5">
          <cell r="D5" t="str">
            <v>Q1</v>
          </cell>
        </row>
        <row r="5">
          <cell r="F5" t="str">
            <v>Sunday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300</v>
          </cell>
        </row>
        <row r="6">
          <cell r="B6" t="str">
            <v>January</v>
          </cell>
        </row>
        <row r="6">
          <cell r="D6" t="str">
            <v>Q1</v>
          </cell>
        </row>
        <row r="6">
          <cell r="F6" t="str">
            <v>Monday</v>
          </cell>
          <cell r="G6">
            <v>60.5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60.5</v>
          </cell>
          <cell r="M6">
            <v>300</v>
          </cell>
        </row>
        <row r="7">
          <cell r="B7" t="str">
            <v>January</v>
          </cell>
        </row>
        <row r="7">
          <cell r="D7" t="str">
            <v>Q1</v>
          </cell>
        </row>
        <row r="7">
          <cell r="F7" t="str">
            <v>Tuesday</v>
          </cell>
          <cell r="G7">
            <v>70.5</v>
          </cell>
          <cell r="H7">
            <v>0</v>
          </cell>
          <cell r="I7">
            <v>80.5</v>
          </cell>
          <cell r="J7">
            <v>30.5</v>
          </cell>
          <cell r="K7">
            <v>0</v>
          </cell>
          <cell r="L7">
            <v>181.5</v>
          </cell>
          <cell r="M7">
            <v>300</v>
          </cell>
        </row>
        <row r="8">
          <cell r="B8" t="str">
            <v>January</v>
          </cell>
        </row>
        <row r="8">
          <cell r="D8" t="str">
            <v>Q1</v>
          </cell>
        </row>
        <row r="8">
          <cell r="F8" t="str">
            <v>Wednesday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300</v>
          </cell>
        </row>
        <row r="9">
          <cell r="B9" t="str">
            <v>January</v>
          </cell>
        </row>
        <row r="9">
          <cell r="D9" t="str">
            <v>Q1</v>
          </cell>
        </row>
        <row r="9">
          <cell r="F9" t="str">
            <v>Thursday</v>
          </cell>
          <cell r="G9">
            <v>70.5</v>
          </cell>
          <cell r="H9">
            <v>195.5</v>
          </cell>
          <cell r="I9">
            <v>95.5</v>
          </cell>
          <cell r="J9">
            <v>20.5</v>
          </cell>
          <cell r="K9">
            <v>0</v>
          </cell>
          <cell r="L9">
            <v>382</v>
          </cell>
          <cell r="M9">
            <v>300</v>
          </cell>
        </row>
        <row r="10">
          <cell r="B10" t="str">
            <v>January</v>
          </cell>
        </row>
        <row r="10">
          <cell r="D10" t="str">
            <v>Q1</v>
          </cell>
        </row>
        <row r="10">
          <cell r="F10" t="str">
            <v>Friday</v>
          </cell>
          <cell r="G10">
            <v>70.5</v>
          </cell>
          <cell r="H10">
            <v>185.5</v>
          </cell>
          <cell r="I10">
            <v>110.5</v>
          </cell>
          <cell r="J10">
            <v>30.5</v>
          </cell>
          <cell r="K10">
            <v>0</v>
          </cell>
          <cell r="L10">
            <v>397</v>
          </cell>
          <cell r="M10">
            <v>300</v>
          </cell>
        </row>
        <row r="11">
          <cell r="B11" t="str">
            <v>January</v>
          </cell>
        </row>
        <row r="11">
          <cell r="D11" t="str">
            <v>Q1</v>
          </cell>
        </row>
        <row r="11">
          <cell r="F11" t="str">
            <v>Saturday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300</v>
          </cell>
        </row>
        <row r="12">
          <cell r="B12" t="str">
            <v>January</v>
          </cell>
        </row>
        <row r="12">
          <cell r="D12" t="str">
            <v>Q1</v>
          </cell>
        </row>
        <row r="12">
          <cell r="F12" t="str">
            <v>Sunday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300</v>
          </cell>
        </row>
        <row r="13">
          <cell r="B13" t="str">
            <v>January</v>
          </cell>
        </row>
        <row r="13">
          <cell r="D13" t="str">
            <v>Q1</v>
          </cell>
        </row>
        <row r="13">
          <cell r="F13" t="str">
            <v>Monday</v>
          </cell>
          <cell r="G13">
            <v>55.5</v>
          </cell>
          <cell r="H13">
            <v>105.5</v>
          </cell>
          <cell r="I13">
            <v>75.5</v>
          </cell>
          <cell r="J13">
            <v>0</v>
          </cell>
          <cell r="K13">
            <v>100.5</v>
          </cell>
          <cell r="L13">
            <v>337</v>
          </cell>
          <cell r="M13">
            <v>300</v>
          </cell>
        </row>
        <row r="14">
          <cell r="B14" t="str">
            <v>January</v>
          </cell>
        </row>
        <row r="14">
          <cell r="D14" t="str">
            <v>Q1</v>
          </cell>
        </row>
        <row r="14">
          <cell r="F14" t="str">
            <v>Tuesday</v>
          </cell>
          <cell r="G14">
            <v>60.5</v>
          </cell>
          <cell r="H14">
            <v>120.5</v>
          </cell>
          <cell r="I14">
            <v>105.5</v>
          </cell>
          <cell r="J14">
            <v>20.5</v>
          </cell>
          <cell r="K14">
            <v>0</v>
          </cell>
          <cell r="L14">
            <v>307</v>
          </cell>
          <cell r="M14">
            <v>300</v>
          </cell>
        </row>
        <row r="15">
          <cell r="B15" t="str">
            <v>January</v>
          </cell>
        </row>
        <row r="15">
          <cell r="D15" t="str">
            <v>Q1</v>
          </cell>
        </row>
        <row r="15">
          <cell r="F15" t="str">
            <v>Wednesday</v>
          </cell>
          <cell r="G15">
            <v>60.5</v>
          </cell>
          <cell r="H15">
            <v>195.5</v>
          </cell>
          <cell r="I15">
            <v>125.5</v>
          </cell>
          <cell r="J15">
            <v>0</v>
          </cell>
          <cell r="K15">
            <v>0</v>
          </cell>
          <cell r="L15">
            <v>381.5</v>
          </cell>
          <cell r="M15">
            <v>300</v>
          </cell>
        </row>
        <row r="16">
          <cell r="B16" t="str">
            <v>January</v>
          </cell>
        </row>
        <row r="16">
          <cell r="D16" t="str">
            <v>Q1</v>
          </cell>
        </row>
        <row r="16">
          <cell r="F16" t="str">
            <v>Thursday</v>
          </cell>
          <cell r="G16">
            <v>75.5</v>
          </cell>
          <cell r="H16">
            <v>160.5</v>
          </cell>
          <cell r="I16">
            <v>0</v>
          </cell>
          <cell r="J16">
            <v>15.5</v>
          </cell>
          <cell r="K16">
            <v>50.5</v>
          </cell>
          <cell r="L16">
            <v>302</v>
          </cell>
          <cell r="M16">
            <v>300</v>
          </cell>
        </row>
        <row r="17">
          <cell r="B17" t="str">
            <v>January</v>
          </cell>
        </row>
        <row r="17">
          <cell r="D17" t="str">
            <v>Q1</v>
          </cell>
        </row>
        <row r="17">
          <cell r="F17" t="str">
            <v>Friday</v>
          </cell>
          <cell r="G17">
            <v>60.5</v>
          </cell>
          <cell r="H17">
            <v>150.5</v>
          </cell>
          <cell r="I17">
            <v>125.5</v>
          </cell>
          <cell r="J17">
            <v>0</v>
          </cell>
          <cell r="K17">
            <v>50.5</v>
          </cell>
          <cell r="L17">
            <v>387</v>
          </cell>
          <cell r="M17">
            <v>300</v>
          </cell>
        </row>
        <row r="18">
          <cell r="B18" t="str">
            <v>January</v>
          </cell>
        </row>
        <row r="18">
          <cell r="D18" t="str">
            <v>Q1</v>
          </cell>
        </row>
        <row r="18">
          <cell r="F18" t="str">
            <v>Saturday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300</v>
          </cell>
        </row>
        <row r="19">
          <cell r="B19" t="str">
            <v>January</v>
          </cell>
        </row>
        <row r="19">
          <cell r="D19" t="str">
            <v>Q1</v>
          </cell>
        </row>
        <row r="19">
          <cell r="F19" t="str">
            <v>Sunday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</row>
        <row r="20">
          <cell r="B20" t="str">
            <v>January</v>
          </cell>
        </row>
        <row r="20">
          <cell r="D20" t="str">
            <v>Q1</v>
          </cell>
        </row>
        <row r="20">
          <cell r="F20" t="str">
            <v>Monday</v>
          </cell>
          <cell r="G20">
            <v>60.5</v>
          </cell>
          <cell r="H20">
            <v>0</v>
          </cell>
          <cell r="I20">
            <v>70.5</v>
          </cell>
          <cell r="J20">
            <v>0</v>
          </cell>
          <cell r="K20">
            <v>65.5</v>
          </cell>
          <cell r="L20">
            <v>196.5</v>
          </cell>
          <cell r="M20">
            <v>300</v>
          </cell>
        </row>
        <row r="21">
          <cell r="B21" t="str">
            <v>January</v>
          </cell>
        </row>
        <row r="21">
          <cell r="D21" t="str">
            <v>Q1</v>
          </cell>
        </row>
        <row r="21">
          <cell r="F21" t="str">
            <v>Tuesday</v>
          </cell>
          <cell r="G21">
            <v>25.5</v>
          </cell>
          <cell r="H21">
            <v>157.5</v>
          </cell>
          <cell r="I21">
            <v>0</v>
          </cell>
          <cell r="J21">
            <v>0</v>
          </cell>
          <cell r="K21">
            <v>36.5</v>
          </cell>
          <cell r="L21">
            <v>219.5</v>
          </cell>
          <cell r="M21">
            <v>300</v>
          </cell>
        </row>
        <row r="22">
          <cell r="B22" t="str">
            <v>January</v>
          </cell>
        </row>
        <row r="22">
          <cell r="D22" t="str">
            <v>Q1</v>
          </cell>
        </row>
        <row r="22">
          <cell r="F22" t="str">
            <v>Wednesday</v>
          </cell>
          <cell r="G22">
            <v>0</v>
          </cell>
          <cell r="H22">
            <v>155.5</v>
          </cell>
          <cell r="I22">
            <v>90.5</v>
          </cell>
          <cell r="J22">
            <v>20.5</v>
          </cell>
          <cell r="K22">
            <v>30.5</v>
          </cell>
          <cell r="L22">
            <v>297</v>
          </cell>
          <cell r="M22">
            <v>300</v>
          </cell>
        </row>
        <row r="23">
          <cell r="B23" t="str">
            <v>January</v>
          </cell>
        </row>
        <row r="23">
          <cell r="D23" t="str">
            <v>Q1</v>
          </cell>
        </row>
        <row r="23">
          <cell r="F23" t="str">
            <v>Thursday</v>
          </cell>
          <cell r="G23">
            <v>70.5</v>
          </cell>
          <cell r="H23">
            <v>135.5</v>
          </cell>
          <cell r="I23">
            <v>80.5</v>
          </cell>
          <cell r="J23">
            <v>0</v>
          </cell>
          <cell r="K23">
            <v>0</v>
          </cell>
          <cell r="L23">
            <v>286.5</v>
          </cell>
          <cell r="M23">
            <v>300</v>
          </cell>
        </row>
        <row r="24">
          <cell r="B24" t="str">
            <v>January</v>
          </cell>
        </row>
        <row r="24">
          <cell r="D24" t="str">
            <v>Q1</v>
          </cell>
        </row>
        <row r="24">
          <cell r="F24" t="str">
            <v>Friday</v>
          </cell>
          <cell r="G24">
            <v>0</v>
          </cell>
          <cell r="H24">
            <v>170.5</v>
          </cell>
          <cell r="I24">
            <v>135.5</v>
          </cell>
          <cell r="J24">
            <v>30.5</v>
          </cell>
          <cell r="K24">
            <v>0</v>
          </cell>
          <cell r="L24">
            <v>336.5</v>
          </cell>
          <cell r="M24">
            <v>300</v>
          </cell>
        </row>
        <row r="25">
          <cell r="B25" t="str">
            <v>January</v>
          </cell>
        </row>
        <row r="25">
          <cell r="D25" t="str">
            <v>Q1</v>
          </cell>
        </row>
        <row r="25">
          <cell r="F25" t="str">
            <v>Saturday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300</v>
          </cell>
        </row>
        <row r="26">
          <cell r="B26" t="str">
            <v>January</v>
          </cell>
        </row>
        <row r="26">
          <cell r="D26" t="str">
            <v>Q1</v>
          </cell>
        </row>
        <row r="26">
          <cell r="F26" t="str">
            <v>Sunday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300</v>
          </cell>
        </row>
        <row r="27">
          <cell r="B27" t="str">
            <v>January</v>
          </cell>
        </row>
        <row r="27">
          <cell r="D27" t="str">
            <v>Q1</v>
          </cell>
        </row>
        <row r="27">
          <cell r="F27" t="str">
            <v>Monday</v>
          </cell>
          <cell r="G27">
            <v>50.5</v>
          </cell>
          <cell r="H27">
            <v>130.5</v>
          </cell>
          <cell r="I27">
            <v>80.5</v>
          </cell>
          <cell r="J27">
            <v>15.5</v>
          </cell>
          <cell r="K27">
            <v>0</v>
          </cell>
          <cell r="L27">
            <v>277</v>
          </cell>
          <cell r="M27">
            <v>300</v>
          </cell>
        </row>
        <row r="28">
          <cell r="B28" t="str">
            <v>January</v>
          </cell>
        </row>
        <row r="28">
          <cell r="D28" t="str">
            <v>Q1</v>
          </cell>
        </row>
        <row r="28">
          <cell r="F28" t="str">
            <v>Tuesday</v>
          </cell>
          <cell r="G28">
            <v>40.5</v>
          </cell>
          <cell r="H28">
            <v>110.5</v>
          </cell>
          <cell r="I28">
            <v>65.5</v>
          </cell>
          <cell r="J28">
            <v>15.5</v>
          </cell>
          <cell r="K28">
            <v>30.5</v>
          </cell>
          <cell r="L28">
            <v>262.5</v>
          </cell>
          <cell r="M28">
            <v>300</v>
          </cell>
        </row>
        <row r="29">
          <cell r="B29" t="str">
            <v>January</v>
          </cell>
        </row>
        <row r="29">
          <cell r="D29" t="str">
            <v>Q1</v>
          </cell>
        </row>
        <row r="29">
          <cell r="F29" t="str">
            <v>Wednesday</v>
          </cell>
          <cell r="G29">
            <v>0</v>
          </cell>
          <cell r="H29">
            <v>240.5</v>
          </cell>
          <cell r="I29">
            <v>125.5</v>
          </cell>
          <cell r="J29">
            <v>30.5</v>
          </cell>
          <cell r="K29">
            <v>0</v>
          </cell>
          <cell r="L29">
            <v>396.5</v>
          </cell>
          <cell r="M29">
            <v>300</v>
          </cell>
        </row>
        <row r="30">
          <cell r="B30" t="str">
            <v>January</v>
          </cell>
        </row>
        <row r="30">
          <cell r="D30" t="str">
            <v>Q1</v>
          </cell>
        </row>
        <row r="30">
          <cell r="F30" t="str">
            <v>Thursday</v>
          </cell>
          <cell r="G30">
            <v>0</v>
          </cell>
          <cell r="H30">
            <v>180.5</v>
          </cell>
          <cell r="I30">
            <v>65.5</v>
          </cell>
          <cell r="J30">
            <v>25.5</v>
          </cell>
          <cell r="K30">
            <v>100.5</v>
          </cell>
          <cell r="L30">
            <v>372</v>
          </cell>
          <cell r="M30">
            <v>300</v>
          </cell>
        </row>
        <row r="31">
          <cell r="B31" t="str">
            <v>January</v>
          </cell>
        </row>
        <row r="31">
          <cell r="D31" t="str">
            <v>Q1</v>
          </cell>
        </row>
        <row r="31">
          <cell r="F31" t="str">
            <v>Friday</v>
          </cell>
          <cell r="G31">
            <v>59.5</v>
          </cell>
          <cell r="H31">
            <v>160.5</v>
          </cell>
          <cell r="I31">
            <v>0</v>
          </cell>
          <cell r="J31">
            <v>0</v>
          </cell>
          <cell r="K31">
            <v>49.5</v>
          </cell>
          <cell r="L31">
            <v>269.5</v>
          </cell>
          <cell r="M31">
            <v>300</v>
          </cell>
        </row>
        <row r="32">
          <cell r="B32" t="str">
            <v>January</v>
          </cell>
        </row>
        <row r="32">
          <cell r="D32" t="str">
            <v>Q1</v>
          </cell>
        </row>
        <row r="32">
          <cell r="F32" t="str">
            <v>Saturday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300</v>
          </cell>
        </row>
        <row r="33">
          <cell r="B33" t="str">
            <v>February</v>
          </cell>
        </row>
        <row r="33">
          <cell r="D33" t="str">
            <v>Q1</v>
          </cell>
        </row>
        <row r="33">
          <cell r="F33" t="str">
            <v>Sunday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300</v>
          </cell>
        </row>
        <row r="34">
          <cell r="B34" t="str">
            <v>February</v>
          </cell>
        </row>
        <row r="34">
          <cell r="D34" t="str">
            <v>Q1</v>
          </cell>
        </row>
        <row r="34">
          <cell r="F34" t="str">
            <v>Monday</v>
          </cell>
          <cell r="G34">
            <v>55.5</v>
          </cell>
          <cell r="H34">
            <v>245.5</v>
          </cell>
          <cell r="I34">
            <v>65.5</v>
          </cell>
          <cell r="J34">
            <v>0</v>
          </cell>
          <cell r="K34">
            <v>0</v>
          </cell>
          <cell r="L34">
            <v>366.5</v>
          </cell>
          <cell r="M34">
            <v>300</v>
          </cell>
        </row>
        <row r="35">
          <cell r="B35" t="str">
            <v>February</v>
          </cell>
        </row>
        <row r="35">
          <cell r="D35" t="str">
            <v>Q1</v>
          </cell>
        </row>
        <row r="35">
          <cell r="F35" t="str">
            <v>Tuesday</v>
          </cell>
          <cell r="G35">
            <v>50.5</v>
          </cell>
          <cell r="H35">
            <v>140.5</v>
          </cell>
          <cell r="I35">
            <v>70.5</v>
          </cell>
          <cell r="J35">
            <v>0</v>
          </cell>
          <cell r="K35">
            <v>40.5</v>
          </cell>
          <cell r="L35">
            <v>302</v>
          </cell>
          <cell r="M35">
            <v>300</v>
          </cell>
        </row>
        <row r="36">
          <cell r="B36" t="str">
            <v>February</v>
          </cell>
        </row>
        <row r="36">
          <cell r="D36" t="str">
            <v>Q1</v>
          </cell>
        </row>
        <row r="36">
          <cell r="F36" t="str">
            <v>Wednesday</v>
          </cell>
          <cell r="G36">
            <v>30.5</v>
          </cell>
          <cell r="H36">
            <v>140.5</v>
          </cell>
          <cell r="I36">
            <v>0</v>
          </cell>
          <cell r="J36">
            <v>0</v>
          </cell>
          <cell r="K36">
            <v>0</v>
          </cell>
          <cell r="L36">
            <v>171</v>
          </cell>
          <cell r="M36">
            <v>300</v>
          </cell>
        </row>
        <row r="37">
          <cell r="B37" t="str">
            <v>February</v>
          </cell>
        </row>
        <row r="37">
          <cell r="D37" t="str">
            <v>Q1</v>
          </cell>
        </row>
        <row r="37">
          <cell r="F37" t="str">
            <v>Thursday</v>
          </cell>
          <cell r="G37">
            <v>90.5</v>
          </cell>
          <cell r="H37">
            <v>200.5</v>
          </cell>
          <cell r="I37">
            <v>95.5</v>
          </cell>
          <cell r="J37">
            <v>0</v>
          </cell>
          <cell r="K37">
            <v>0</v>
          </cell>
          <cell r="L37">
            <v>386.5</v>
          </cell>
          <cell r="M37">
            <v>300</v>
          </cell>
        </row>
        <row r="38">
          <cell r="B38" t="str">
            <v>February</v>
          </cell>
        </row>
        <row r="38">
          <cell r="D38" t="str">
            <v>Q1</v>
          </cell>
        </row>
        <row r="38">
          <cell r="F38" t="str">
            <v>Friday</v>
          </cell>
          <cell r="G38">
            <v>65.5</v>
          </cell>
          <cell r="H38">
            <v>155.5</v>
          </cell>
          <cell r="I38">
            <v>85.5</v>
          </cell>
          <cell r="J38">
            <v>0</v>
          </cell>
          <cell r="K38">
            <v>50.5</v>
          </cell>
          <cell r="L38">
            <v>357</v>
          </cell>
          <cell r="M38">
            <v>300</v>
          </cell>
        </row>
        <row r="39">
          <cell r="B39" t="str">
            <v>February</v>
          </cell>
        </row>
        <row r="39">
          <cell r="D39" t="str">
            <v>Q1</v>
          </cell>
        </row>
        <row r="39">
          <cell r="F39" t="str">
            <v>Saturday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300</v>
          </cell>
        </row>
        <row r="40">
          <cell r="B40" t="str">
            <v>February</v>
          </cell>
        </row>
        <row r="40">
          <cell r="D40" t="str">
            <v>Q1</v>
          </cell>
        </row>
        <row r="40">
          <cell r="F40" t="str">
            <v>Sunday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300</v>
          </cell>
        </row>
        <row r="41">
          <cell r="B41" t="str">
            <v>February</v>
          </cell>
        </row>
        <row r="41">
          <cell r="D41" t="str">
            <v>Q1</v>
          </cell>
        </row>
        <row r="41">
          <cell r="F41" t="str">
            <v>Monday</v>
          </cell>
          <cell r="G41">
            <v>56.5</v>
          </cell>
          <cell r="H41">
            <v>120.5</v>
          </cell>
          <cell r="I41">
            <v>0</v>
          </cell>
          <cell r="J41">
            <v>0</v>
          </cell>
          <cell r="K41">
            <v>36.5</v>
          </cell>
          <cell r="L41">
            <v>213.5</v>
          </cell>
          <cell r="M41">
            <v>300</v>
          </cell>
        </row>
        <row r="42">
          <cell r="B42" t="str">
            <v>February</v>
          </cell>
        </row>
        <row r="42">
          <cell r="D42" t="str">
            <v>Q1</v>
          </cell>
        </row>
        <row r="42">
          <cell r="F42" t="str">
            <v>Tuesday</v>
          </cell>
          <cell r="G42">
            <v>0</v>
          </cell>
          <cell r="H42">
            <v>150.5</v>
          </cell>
          <cell r="I42">
            <v>90.5</v>
          </cell>
          <cell r="J42">
            <v>0</v>
          </cell>
          <cell r="K42">
            <v>67.5</v>
          </cell>
          <cell r="L42">
            <v>308.5</v>
          </cell>
          <cell r="M42">
            <v>300</v>
          </cell>
        </row>
        <row r="43">
          <cell r="B43" t="str">
            <v>February</v>
          </cell>
        </row>
        <row r="43">
          <cell r="D43" t="str">
            <v>Q1</v>
          </cell>
        </row>
        <row r="43">
          <cell r="F43" t="str">
            <v>Wednesday</v>
          </cell>
          <cell r="G43">
            <v>50.5</v>
          </cell>
          <cell r="H43">
            <v>160.5</v>
          </cell>
          <cell r="I43">
            <v>115.5</v>
          </cell>
          <cell r="J43">
            <v>0</v>
          </cell>
          <cell r="K43">
            <v>34.5</v>
          </cell>
          <cell r="L43">
            <v>361</v>
          </cell>
          <cell r="M43">
            <v>300</v>
          </cell>
        </row>
        <row r="44">
          <cell r="B44" t="str">
            <v>February</v>
          </cell>
        </row>
        <row r="44">
          <cell r="D44" t="str">
            <v>Q1</v>
          </cell>
        </row>
        <row r="44">
          <cell r="F44" t="str">
            <v>Thursday</v>
          </cell>
          <cell r="G44">
            <v>0</v>
          </cell>
          <cell r="H44">
            <v>195.5</v>
          </cell>
          <cell r="I44">
            <v>95.5</v>
          </cell>
          <cell r="J44">
            <v>15.5</v>
          </cell>
          <cell r="K44">
            <v>10.5</v>
          </cell>
          <cell r="L44">
            <v>317</v>
          </cell>
          <cell r="M44">
            <v>300</v>
          </cell>
        </row>
        <row r="45">
          <cell r="B45" t="str">
            <v>February</v>
          </cell>
        </row>
        <row r="45">
          <cell r="D45" t="str">
            <v>Q1</v>
          </cell>
        </row>
        <row r="45">
          <cell r="F45" t="str">
            <v>Friday</v>
          </cell>
          <cell r="G45">
            <v>100.5</v>
          </cell>
          <cell r="H45">
            <v>230.5</v>
          </cell>
          <cell r="I45">
            <v>75.5</v>
          </cell>
          <cell r="J45">
            <v>30.5</v>
          </cell>
          <cell r="K45">
            <v>100.5</v>
          </cell>
          <cell r="L45">
            <v>537.5</v>
          </cell>
          <cell r="M45">
            <v>300</v>
          </cell>
        </row>
        <row r="46">
          <cell r="B46" t="str">
            <v>February</v>
          </cell>
        </row>
        <row r="46">
          <cell r="D46" t="str">
            <v>Q1</v>
          </cell>
        </row>
        <row r="46">
          <cell r="F46" t="str">
            <v>Saturday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300</v>
          </cell>
        </row>
        <row r="47">
          <cell r="B47" t="str">
            <v>February</v>
          </cell>
        </row>
        <row r="47">
          <cell r="D47" t="str">
            <v>Q1</v>
          </cell>
        </row>
        <row r="47">
          <cell r="F47" t="str">
            <v>Sunday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300</v>
          </cell>
        </row>
        <row r="48">
          <cell r="B48" t="str">
            <v>February</v>
          </cell>
        </row>
        <row r="48">
          <cell r="D48" t="str">
            <v>Q1</v>
          </cell>
        </row>
        <row r="48">
          <cell r="F48" t="str">
            <v>Monday</v>
          </cell>
          <cell r="G48">
            <v>70.5</v>
          </cell>
          <cell r="H48">
            <v>0</v>
          </cell>
          <cell r="I48">
            <v>75.5</v>
          </cell>
          <cell r="J48">
            <v>0</v>
          </cell>
          <cell r="K48">
            <v>65.5</v>
          </cell>
          <cell r="L48">
            <v>211.5</v>
          </cell>
          <cell r="M48">
            <v>300</v>
          </cell>
        </row>
        <row r="49">
          <cell r="B49" t="str">
            <v>February</v>
          </cell>
        </row>
        <row r="49">
          <cell r="D49" t="str">
            <v>Q1</v>
          </cell>
        </row>
        <row r="49">
          <cell r="F49" t="str">
            <v>Tuesday</v>
          </cell>
          <cell r="G49">
            <v>27.5</v>
          </cell>
          <cell r="H49">
            <v>150.5</v>
          </cell>
          <cell r="I49">
            <v>0</v>
          </cell>
          <cell r="J49">
            <v>0</v>
          </cell>
          <cell r="K49">
            <v>35.5</v>
          </cell>
          <cell r="L49">
            <v>213.5</v>
          </cell>
          <cell r="M49">
            <v>300</v>
          </cell>
        </row>
        <row r="50">
          <cell r="B50" t="str">
            <v>February</v>
          </cell>
        </row>
        <row r="50">
          <cell r="D50" t="str">
            <v>Q1</v>
          </cell>
        </row>
        <row r="50">
          <cell r="F50" t="str">
            <v>Wednesday</v>
          </cell>
          <cell r="G50">
            <v>60.5</v>
          </cell>
          <cell r="H50">
            <v>210.5</v>
          </cell>
          <cell r="I50">
            <v>0</v>
          </cell>
          <cell r="J50">
            <v>20.5</v>
          </cell>
          <cell r="K50">
            <v>40.5</v>
          </cell>
          <cell r="L50">
            <v>332</v>
          </cell>
          <cell r="M50">
            <v>300</v>
          </cell>
        </row>
        <row r="51">
          <cell r="B51" t="str">
            <v>February</v>
          </cell>
        </row>
        <row r="51">
          <cell r="D51" t="str">
            <v>Q1</v>
          </cell>
        </row>
        <row r="51">
          <cell r="F51" t="str">
            <v>Thursday</v>
          </cell>
          <cell r="G51">
            <v>75.5</v>
          </cell>
          <cell r="H51">
            <v>180.5</v>
          </cell>
          <cell r="I51">
            <v>60.5</v>
          </cell>
          <cell r="J51">
            <v>10.5</v>
          </cell>
          <cell r="K51">
            <v>50.5</v>
          </cell>
          <cell r="L51">
            <v>377.5</v>
          </cell>
          <cell r="M51">
            <v>300</v>
          </cell>
        </row>
        <row r="52">
          <cell r="B52" t="str">
            <v>February</v>
          </cell>
        </row>
        <row r="52">
          <cell r="D52" t="str">
            <v>Q1</v>
          </cell>
        </row>
        <row r="52">
          <cell r="F52" t="str">
            <v>Friday</v>
          </cell>
          <cell r="G52">
            <v>90.5</v>
          </cell>
          <cell r="H52">
            <v>200.5</v>
          </cell>
          <cell r="I52">
            <v>135.5</v>
          </cell>
          <cell r="J52">
            <v>10.5</v>
          </cell>
          <cell r="K52">
            <v>50.5</v>
          </cell>
          <cell r="L52">
            <v>487.5</v>
          </cell>
          <cell r="M52">
            <v>300</v>
          </cell>
        </row>
        <row r="53">
          <cell r="B53" t="str">
            <v>February</v>
          </cell>
        </row>
        <row r="53">
          <cell r="D53" t="str">
            <v>Q1</v>
          </cell>
        </row>
        <row r="53">
          <cell r="F53" t="str">
            <v>Saturday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300</v>
          </cell>
        </row>
        <row r="54">
          <cell r="B54" t="str">
            <v>February</v>
          </cell>
        </row>
        <row r="54">
          <cell r="D54" t="str">
            <v>Q1</v>
          </cell>
        </row>
        <row r="54">
          <cell r="F54" t="str">
            <v>Sunday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300</v>
          </cell>
        </row>
        <row r="55">
          <cell r="B55" t="str">
            <v>February</v>
          </cell>
        </row>
        <row r="55">
          <cell r="D55" t="str">
            <v>Q1</v>
          </cell>
        </row>
        <row r="55">
          <cell r="F55" t="str">
            <v>Monday</v>
          </cell>
          <cell r="G55">
            <v>45.5</v>
          </cell>
          <cell r="H55">
            <v>125.5</v>
          </cell>
          <cell r="I55">
            <v>80.5</v>
          </cell>
          <cell r="J55">
            <v>20.5</v>
          </cell>
          <cell r="K55">
            <v>65.5</v>
          </cell>
          <cell r="L55">
            <v>337.5</v>
          </cell>
          <cell r="M55">
            <v>300</v>
          </cell>
        </row>
        <row r="56">
          <cell r="B56" t="str">
            <v>February</v>
          </cell>
        </row>
        <row r="56">
          <cell r="D56" t="str">
            <v>Q1</v>
          </cell>
        </row>
        <row r="56">
          <cell r="F56" t="str">
            <v>Tuesday</v>
          </cell>
          <cell r="G56">
            <v>24.5</v>
          </cell>
          <cell r="H56">
            <v>137.5</v>
          </cell>
          <cell r="I56">
            <v>0</v>
          </cell>
          <cell r="J56">
            <v>0</v>
          </cell>
          <cell r="K56">
            <v>46.5</v>
          </cell>
          <cell r="L56">
            <v>208.5</v>
          </cell>
          <cell r="M56">
            <v>300</v>
          </cell>
        </row>
        <row r="57">
          <cell r="B57" t="str">
            <v>February</v>
          </cell>
        </row>
        <row r="57">
          <cell r="D57" t="str">
            <v>Q1</v>
          </cell>
        </row>
        <row r="57">
          <cell r="F57" t="str">
            <v>Wednesday</v>
          </cell>
          <cell r="G57">
            <v>50.5</v>
          </cell>
          <cell r="H57">
            <v>165.5</v>
          </cell>
          <cell r="I57">
            <v>70.5</v>
          </cell>
          <cell r="J57">
            <v>0</v>
          </cell>
          <cell r="K57">
            <v>80.5</v>
          </cell>
          <cell r="L57">
            <v>367</v>
          </cell>
          <cell r="M57">
            <v>300</v>
          </cell>
        </row>
        <row r="58">
          <cell r="B58" t="str">
            <v>February</v>
          </cell>
        </row>
        <row r="58">
          <cell r="D58" t="str">
            <v>Q1</v>
          </cell>
        </row>
        <row r="58">
          <cell r="F58" t="str">
            <v>Thursday</v>
          </cell>
          <cell r="G58">
            <v>0</v>
          </cell>
          <cell r="H58">
            <v>195.5</v>
          </cell>
          <cell r="I58">
            <v>125.5</v>
          </cell>
          <cell r="J58">
            <v>0</v>
          </cell>
          <cell r="K58">
            <v>100.5</v>
          </cell>
          <cell r="L58">
            <v>421.5</v>
          </cell>
          <cell r="M58">
            <v>300</v>
          </cell>
        </row>
        <row r="59">
          <cell r="B59" t="str">
            <v>February</v>
          </cell>
        </row>
        <row r="59">
          <cell r="D59" t="str">
            <v>Q1</v>
          </cell>
        </row>
        <row r="59">
          <cell r="F59" t="str">
            <v>Friday</v>
          </cell>
          <cell r="G59">
            <v>125.5</v>
          </cell>
          <cell r="H59">
            <v>250.5</v>
          </cell>
          <cell r="I59">
            <v>160.5</v>
          </cell>
          <cell r="J59">
            <v>25.5</v>
          </cell>
          <cell r="K59">
            <v>100.5</v>
          </cell>
          <cell r="L59">
            <v>662.5</v>
          </cell>
          <cell r="M59">
            <v>300</v>
          </cell>
        </row>
        <row r="60">
          <cell r="B60" t="str">
            <v>February</v>
          </cell>
        </row>
        <row r="60">
          <cell r="D60" t="str">
            <v>Q1</v>
          </cell>
        </row>
        <row r="60">
          <cell r="F60" t="str">
            <v>Saturday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300</v>
          </cell>
        </row>
        <row r="61">
          <cell r="B61" t="str">
            <v>March</v>
          </cell>
        </row>
        <row r="61">
          <cell r="D61" t="str">
            <v>Q1</v>
          </cell>
        </row>
        <row r="61">
          <cell r="F61" t="str">
            <v>Sunday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300</v>
          </cell>
        </row>
        <row r="62">
          <cell r="B62" t="str">
            <v>March</v>
          </cell>
        </row>
        <row r="62">
          <cell r="D62" t="str">
            <v>Q1</v>
          </cell>
        </row>
        <row r="62">
          <cell r="F62" t="str">
            <v>Monday</v>
          </cell>
          <cell r="G62">
            <v>60.5</v>
          </cell>
          <cell r="H62">
            <v>160.5</v>
          </cell>
          <cell r="I62">
            <v>75.5</v>
          </cell>
          <cell r="J62">
            <v>10.5</v>
          </cell>
          <cell r="K62">
            <v>56.5</v>
          </cell>
          <cell r="L62">
            <v>363.5</v>
          </cell>
          <cell r="M62">
            <v>300</v>
          </cell>
        </row>
        <row r="63">
          <cell r="B63" t="str">
            <v>March</v>
          </cell>
        </row>
        <row r="63">
          <cell r="D63" t="str">
            <v>Q1</v>
          </cell>
        </row>
        <row r="63">
          <cell r="F63" t="str">
            <v>Tuesday</v>
          </cell>
          <cell r="G63">
            <v>45.5</v>
          </cell>
          <cell r="H63">
            <v>215.5</v>
          </cell>
          <cell r="I63">
            <v>80.5</v>
          </cell>
          <cell r="J63">
            <v>0</v>
          </cell>
          <cell r="K63">
            <v>78.5</v>
          </cell>
          <cell r="L63">
            <v>420</v>
          </cell>
          <cell r="M63">
            <v>300</v>
          </cell>
        </row>
        <row r="64">
          <cell r="B64" t="str">
            <v>March</v>
          </cell>
        </row>
        <row r="64">
          <cell r="D64" t="str">
            <v>Q1</v>
          </cell>
        </row>
        <row r="64">
          <cell r="F64" t="str">
            <v>Wednesday</v>
          </cell>
          <cell r="G64">
            <v>95.5</v>
          </cell>
          <cell r="H64">
            <v>245.5</v>
          </cell>
          <cell r="I64">
            <v>95.5</v>
          </cell>
          <cell r="J64">
            <v>10.5</v>
          </cell>
          <cell r="K64">
            <v>80.5</v>
          </cell>
          <cell r="L64">
            <v>527.5</v>
          </cell>
          <cell r="M64">
            <v>300</v>
          </cell>
        </row>
        <row r="65">
          <cell r="B65" t="str">
            <v>March</v>
          </cell>
        </row>
        <row r="65">
          <cell r="D65" t="str">
            <v>Q1</v>
          </cell>
        </row>
        <row r="65">
          <cell r="F65" t="str">
            <v>Thursday</v>
          </cell>
          <cell r="G65">
            <v>50.5</v>
          </cell>
          <cell r="H65">
            <v>0</v>
          </cell>
          <cell r="I65">
            <v>105.5</v>
          </cell>
          <cell r="J65">
            <v>0</v>
          </cell>
          <cell r="K65">
            <v>37.5</v>
          </cell>
          <cell r="L65">
            <v>193.5</v>
          </cell>
          <cell r="M65">
            <v>300</v>
          </cell>
        </row>
        <row r="66">
          <cell r="B66" t="str">
            <v>March</v>
          </cell>
        </row>
        <row r="66">
          <cell r="D66" t="str">
            <v>Q1</v>
          </cell>
        </row>
        <row r="66">
          <cell r="F66" t="str">
            <v>Friday</v>
          </cell>
          <cell r="G66">
            <v>130.5</v>
          </cell>
          <cell r="H66">
            <v>215.5</v>
          </cell>
          <cell r="I66">
            <v>170.5</v>
          </cell>
          <cell r="J66">
            <v>0</v>
          </cell>
          <cell r="K66">
            <v>50.5</v>
          </cell>
          <cell r="L66">
            <v>567</v>
          </cell>
          <cell r="M66">
            <v>300</v>
          </cell>
        </row>
        <row r="67">
          <cell r="B67" t="str">
            <v>March</v>
          </cell>
        </row>
        <row r="67">
          <cell r="D67" t="str">
            <v>Q1</v>
          </cell>
        </row>
        <row r="67">
          <cell r="F67" t="str">
            <v>Saturday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300</v>
          </cell>
        </row>
        <row r="68">
          <cell r="B68" t="str">
            <v>March</v>
          </cell>
        </row>
        <row r="68">
          <cell r="D68" t="str">
            <v>Q1</v>
          </cell>
        </row>
        <row r="68">
          <cell r="F68" t="str">
            <v>Sunday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300</v>
          </cell>
        </row>
        <row r="69">
          <cell r="B69" t="str">
            <v>March</v>
          </cell>
        </row>
        <row r="69">
          <cell r="D69" t="str">
            <v>Q1</v>
          </cell>
        </row>
        <row r="69">
          <cell r="F69" t="str">
            <v>Monday</v>
          </cell>
          <cell r="G69">
            <v>34.5</v>
          </cell>
          <cell r="H69">
            <v>190.5</v>
          </cell>
          <cell r="I69">
            <v>0</v>
          </cell>
          <cell r="J69">
            <v>0</v>
          </cell>
          <cell r="K69">
            <v>35.5</v>
          </cell>
          <cell r="L69">
            <v>260.5</v>
          </cell>
          <cell r="M69">
            <v>300</v>
          </cell>
        </row>
        <row r="70">
          <cell r="B70" t="str">
            <v>March</v>
          </cell>
        </row>
        <row r="70">
          <cell r="D70" t="str">
            <v>Q1</v>
          </cell>
        </row>
        <row r="70">
          <cell r="F70" t="str">
            <v>Tuesday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300</v>
          </cell>
        </row>
        <row r="71">
          <cell r="B71" t="str">
            <v>March</v>
          </cell>
        </row>
        <row r="71">
          <cell r="D71" t="str">
            <v>Q1</v>
          </cell>
        </row>
        <row r="71">
          <cell r="F71" t="str">
            <v>Wednesday</v>
          </cell>
          <cell r="G71">
            <v>80.5</v>
          </cell>
          <cell r="H71">
            <v>165.5</v>
          </cell>
          <cell r="I71">
            <v>60.5</v>
          </cell>
          <cell r="J71">
            <v>15.5</v>
          </cell>
          <cell r="K71">
            <v>0</v>
          </cell>
          <cell r="L71">
            <v>322</v>
          </cell>
          <cell r="M71">
            <v>300</v>
          </cell>
        </row>
        <row r="72">
          <cell r="B72" t="str">
            <v>March</v>
          </cell>
        </row>
        <row r="72">
          <cell r="D72" t="str">
            <v>Q1</v>
          </cell>
        </row>
        <row r="72">
          <cell r="F72" t="str">
            <v>Thursday</v>
          </cell>
          <cell r="G72">
            <v>60.5</v>
          </cell>
          <cell r="H72">
            <v>175.5</v>
          </cell>
          <cell r="I72">
            <v>75.5</v>
          </cell>
          <cell r="J72">
            <v>15.5</v>
          </cell>
          <cell r="K72">
            <v>80.5</v>
          </cell>
          <cell r="L72">
            <v>407.5</v>
          </cell>
          <cell r="M72">
            <v>300</v>
          </cell>
        </row>
        <row r="73">
          <cell r="B73" t="str">
            <v>March</v>
          </cell>
        </row>
        <row r="73">
          <cell r="D73" t="str">
            <v>Q1</v>
          </cell>
        </row>
        <row r="73">
          <cell r="F73" t="str">
            <v>Friday</v>
          </cell>
          <cell r="G73">
            <v>100.5</v>
          </cell>
          <cell r="H73">
            <v>190.5</v>
          </cell>
          <cell r="I73">
            <v>100.5</v>
          </cell>
          <cell r="J73">
            <v>10.5</v>
          </cell>
          <cell r="K73">
            <v>0</v>
          </cell>
          <cell r="L73">
            <v>402</v>
          </cell>
          <cell r="M73">
            <v>300</v>
          </cell>
        </row>
        <row r="74">
          <cell r="B74" t="str">
            <v>March</v>
          </cell>
        </row>
        <row r="74">
          <cell r="D74" t="str">
            <v>Q1</v>
          </cell>
        </row>
        <row r="74">
          <cell r="F74" t="str">
            <v>Saturday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300</v>
          </cell>
        </row>
        <row r="75">
          <cell r="B75" t="str">
            <v>March</v>
          </cell>
        </row>
        <row r="75">
          <cell r="D75" t="str">
            <v>Q1</v>
          </cell>
        </row>
        <row r="75">
          <cell r="F75" t="str">
            <v>Sunday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300</v>
          </cell>
        </row>
        <row r="76">
          <cell r="B76" t="str">
            <v>March</v>
          </cell>
        </row>
        <row r="76">
          <cell r="D76" t="str">
            <v>Q1</v>
          </cell>
        </row>
        <row r="76">
          <cell r="F76" t="str">
            <v>Monday</v>
          </cell>
          <cell r="G76">
            <v>85.5</v>
          </cell>
          <cell r="H76">
            <v>180.5</v>
          </cell>
          <cell r="I76">
            <v>110.5</v>
          </cell>
          <cell r="J76">
            <v>25.5</v>
          </cell>
          <cell r="K76">
            <v>50.5</v>
          </cell>
          <cell r="L76">
            <v>452.5</v>
          </cell>
          <cell r="M76">
            <v>300</v>
          </cell>
        </row>
        <row r="77">
          <cell r="B77" t="str">
            <v>March</v>
          </cell>
        </row>
        <row r="77">
          <cell r="D77" t="str">
            <v>Q1</v>
          </cell>
        </row>
        <row r="77">
          <cell r="F77" t="str">
            <v>Tuesday</v>
          </cell>
          <cell r="G77">
            <v>45.5</v>
          </cell>
          <cell r="H77">
            <v>135.5</v>
          </cell>
          <cell r="I77">
            <v>85.5</v>
          </cell>
          <cell r="J77">
            <v>20.5</v>
          </cell>
          <cell r="K77">
            <v>80.5</v>
          </cell>
          <cell r="L77">
            <v>367.5</v>
          </cell>
          <cell r="M77">
            <v>300</v>
          </cell>
        </row>
        <row r="78">
          <cell r="B78" t="str">
            <v>March</v>
          </cell>
        </row>
        <row r="78">
          <cell r="D78" t="str">
            <v>Q1</v>
          </cell>
        </row>
        <row r="78">
          <cell r="F78" t="str">
            <v>Wednesday</v>
          </cell>
          <cell r="G78">
            <v>70.5</v>
          </cell>
          <cell r="H78">
            <v>165.5</v>
          </cell>
          <cell r="I78">
            <v>60.5</v>
          </cell>
          <cell r="J78">
            <v>0</v>
          </cell>
          <cell r="K78">
            <v>80.5</v>
          </cell>
          <cell r="L78">
            <v>377</v>
          </cell>
          <cell r="M78">
            <v>300</v>
          </cell>
        </row>
        <row r="79">
          <cell r="B79" t="str">
            <v>March</v>
          </cell>
        </row>
        <row r="79">
          <cell r="D79" t="str">
            <v>Q1</v>
          </cell>
        </row>
        <row r="79">
          <cell r="F79" t="str">
            <v>Thursday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300</v>
          </cell>
        </row>
        <row r="80">
          <cell r="B80" t="str">
            <v>March</v>
          </cell>
        </row>
        <row r="80">
          <cell r="D80" t="str">
            <v>Q1</v>
          </cell>
        </row>
        <row r="80">
          <cell r="F80" t="str">
            <v>Friday</v>
          </cell>
          <cell r="G80">
            <v>95.5</v>
          </cell>
          <cell r="H80">
            <v>190.5</v>
          </cell>
          <cell r="I80">
            <v>110.5</v>
          </cell>
          <cell r="J80">
            <v>10.5</v>
          </cell>
          <cell r="K80">
            <v>80.5</v>
          </cell>
          <cell r="L80">
            <v>487.5</v>
          </cell>
          <cell r="M80">
            <v>300</v>
          </cell>
        </row>
        <row r="81">
          <cell r="B81" t="str">
            <v>March</v>
          </cell>
        </row>
        <row r="81">
          <cell r="D81" t="str">
            <v>Q1</v>
          </cell>
        </row>
        <row r="81">
          <cell r="F81" t="str">
            <v>Saturday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300</v>
          </cell>
        </row>
        <row r="82">
          <cell r="B82" t="str">
            <v>March</v>
          </cell>
        </row>
        <row r="82">
          <cell r="D82" t="str">
            <v>Q1</v>
          </cell>
        </row>
        <row r="82">
          <cell r="F82" t="str">
            <v>Sunday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300</v>
          </cell>
        </row>
        <row r="83">
          <cell r="B83" t="str">
            <v>March</v>
          </cell>
        </row>
        <row r="83">
          <cell r="D83" t="str">
            <v>Q1</v>
          </cell>
        </row>
        <row r="83">
          <cell r="F83" t="str">
            <v>Monday</v>
          </cell>
          <cell r="G83">
            <v>45.5</v>
          </cell>
          <cell r="H83">
            <v>170.5</v>
          </cell>
          <cell r="I83">
            <v>100.5</v>
          </cell>
          <cell r="J83">
            <v>0</v>
          </cell>
          <cell r="K83">
            <v>40.5</v>
          </cell>
          <cell r="L83">
            <v>357</v>
          </cell>
          <cell r="M83">
            <v>300</v>
          </cell>
        </row>
        <row r="84">
          <cell r="B84" t="str">
            <v>March</v>
          </cell>
        </row>
        <row r="84">
          <cell r="D84" t="str">
            <v>Q1</v>
          </cell>
        </row>
        <row r="84">
          <cell r="F84" t="str">
            <v>Tuesday</v>
          </cell>
          <cell r="G84">
            <v>50.5</v>
          </cell>
          <cell r="H84">
            <v>135.5</v>
          </cell>
          <cell r="I84">
            <v>50.5</v>
          </cell>
          <cell r="J84">
            <v>20.5</v>
          </cell>
          <cell r="K84">
            <v>0</v>
          </cell>
          <cell r="L84">
            <v>257</v>
          </cell>
          <cell r="M84">
            <v>300</v>
          </cell>
        </row>
        <row r="85">
          <cell r="B85" t="str">
            <v>March</v>
          </cell>
        </row>
        <row r="85">
          <cell r="D85" t="str">
            <v>Q1</v>
          </cell>
        </row>
        <row r="85">
          <cell r="F85" t="str">
            <v>Wednesday</v>
          </cell>
          <cell r="G85">
            <v>65.5</v>
          </cell>
          <cell r="H85">
            <v>155.5</v>
          </cell>
          <cell r="I85">
            <v>60.5</v>
          </cell>
          <cell r="J85">
            <v>0</v>
          </cell>
          <cell r="K85">
            <v>0</v>
          </cell>
          <cell r="L85">
            <v>281.5</v>
          </cell>
          <cell r="M85">
            <v>300</v>
          </cell>
        </row>
        <row r="86">
          <cell r="B86" t="str">
            <v>March</v>
          </cell>
        </row>
        <row r="86">
          <cell r="D86" t="str">
            <v>Q1</v>
          </cell>
        </row>
        <row r="86">
          <cell r="F86" t="str">
            <v>Thursday</v>
          </cell>
          <cell r="G86">
            <v>34.5</v>
          </cell>
          <cell r="H86">
            <v>129.5</v>
          </cell>
          <cell r="I86">
            <v>0</v>
          </cell>
          <cell r="J86">
            <v>0</v>
          </cell>
          <cell r="K86">
            <v>56.5</v>
          </cell>
          <cell r="L86">
            <v>220.5</v>
          </cell>
          <cell r="M86">
            <v>300</v>
          </cell>
        </row>
        <row r="87">
          <cell r="B87" t="str">
            <v>March</v>
          </cell>
        </row>
        <row r="87">
          <cell r="D87" t="str">
            <v>Q1</v>
          </cell>
        </row>
        <row r="87">
          <cell r="F87" t="str">
            <v>Friday</v>
          </cell>
          <cell r="G87">
            <v>50.5</v>
          </cell>
          <cell r="H87">
            <v>210.5</v>
          </cell>
          <cell r="I87">
            <v>100.5</v>
          </cell>
          <cell r="J87">
            <v>30.5</v>
          </cell>
          <cell r="K87">
            <v>40.5</v>
          </cell>
          <cell r="L87">
            <v>432.5</v>
          </cell>
          <cell r="M87">
            <v>300</v>
          </cell>
        </row>
        <row r="88">
          <cell r="B88" t="str">
            <v>March</v>
          </cell>
        </row>
        <row r="88">
          <cell r="D88" t="str">
            <v>Q1</v>
          </cell>
        </row>
        <row r="88">
          <cell r="F88" t="str">
            <v>Saturday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300</v>
          </cell>
        </row>
        <row r="89">
          <cell r="B89" t="str">
            <v>March</v>
          </cell>
        </row>
        <row r="89">
          <cell r="D89" t="str">
            <v>Q1</v>
          </cell>
        </row>
        <row r="89">
          <cell r="F89" t="str">
            <v>Sunday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300</v>
          </cell>
        </row>
        <row r="90">
          <cell r="B90" t="str">
            <v>March</v>
          </cell>
        </row>
        <row r="90">
          <cell r="D90" t="str">
            <v>Q1</v>
          </cell>
        </row>
        <row r="90">
          <cell r="F90" t="str">
            <v>Monday</v>
          </cell>
          <cell r="G90">
            <v>60.5</v>
          </cell>
          <cell r="H90">
            <v>35.5</v>
          </cell>
          <cell r="I90">
            <v>90.5</v>
          </cell>
          <cell r="J90">
            <v>0</v>
          </cell>
          <cell r="K90">
            <v>190.5</v>
          </cell>
          <cell r="L90">
            <v>377</v>
          </cell>
          <cell r="M90">
            <v>300</v>
          </cell>
        </row>
        <row r="91">
          <cell r="B91" t="str">
            <v>March</v>
          </cell>
        </row>
        <row r="91">
          <cell r="D91" t="str">
            <v>Q1</v>
          </cell>
        </row>
        <row r="91">
          <cell r="F91" t="str">
            <v>Tuesday</v>
          </cell>
          <cell r="G91">
            <v>0</v>
          </cell>
          <cell r="H91">
            <v>155.5</v>
          </cell>
          <cell r="I91">
            <v>110.5</v>
          </cell>
          <cell r="J91">
            <v>25.5</v>
          </cell>
          <cell r="K91">
            <v>100.5</v>
          </cell>
          <cell r="L91">
            <v>392</v>
          </cell>
          <cell r="M91">
            <v>300</v>
          </cell>
        </row>
        <row r="92">
          <cell r="B92" t="str">
            <v>April</v>
          </cell>
        </row>
        <row r="92">
          <cell r="D92" t="str">
            <v>Q2</v>
          </cell>
        </row>
        <row r="92">
          <cell r="F92" t="str">
            <v>Wednesday</v>
          </cell>
          <cell r="G92">
            <v>0</v>
          </cell>
          <cell r="H92">
            <v>160.5</v>
          </cell>
          <cell r="I92">
            <v>80.5</v>
          </cell>
          <cell r="J92">
            <v>0</v>
          </cell>
          <cell r="K92">
            <v>0</v>
          </cell>
          <cell r="L92">
            <v>241</v>
          </cell>
          <cell r="M92">
            <v>300</v>
          </cell>
        </row>
        <row r="93">
          <cell r="B93" t="str">
            <v>April</v>
          </cell>
        </row>
        <row r="93">
          <cell r="D93" t="str">
            <v>Q2</v>
          </cell>
        </row>
        <row r="93">
          <cell r="F93" t="str">
            <v>Thursday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300</v>
          </cell>
        </row>
        <row r="94">
          <cell r="B94" t="str">
            <v>April</v>
          </cell>
        </row>
        <row r="94">
          <cell r="D94" t="str">
            <v>Q2</v>
          </cell>
        </row>
        <row r="94">
          <cell r="F94" t="str">
            <v>Friday</v>
          </cell>
          <cell r="G94">
            <v>90.5</v>
          </cell>
          <cell r="H94">
            <v>230.5</v>
          </cell>
          <cell r="I94">
            <v>0</v>
          </cell>
          <cell r="J94">
            <v>0</v>
          </cell>
          <cell r="K94">
            <v>80.5</v>
          </cell>
          <cell r="L94">
            <v>401.5</v>
          </cell>
          <cell r="M94">
            <v>300</v>
          </cell>
        </row>
        <row r="95">
          <cell r="B95" t="str">
            <v>April</v>
          </cell>
        </row>
        <row r="95">
          <cell r="D95" t="str">
            <v>Q2</v>
          </cell>
        </row>
        <row r="95">
          <cell r="F95" t="str">
            <v>Saturday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300</v>
          </cell>
        </row>
        <row r="96">
          <cell r="B96" t="str">
            <v>April</v>
          </cell>
        </row>
        <row r="96">
          <cell r="D96" t="str">
            <v>Q2</v>
          </cell>
        </row>
        <row r="96">
          <cell r="F96" t="str">
            <v>Sunday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300</v>
          </cell>
        </row>
        <row r="97">
          <cell r="B97" t="str">
            <v>April</v>
          </cell>
        </row>
        <row r="97">
          <cell r="D97" t="str">
            <v>Q2</v>
          </cell>
        </row>
        <row r="97">
          <cell r="F97" t="str">
            <v>Monday</v>
          </cell>
          <cell r="G97">
            <v>70.5</v>
          </cell>
          <cell r="H97">
            <v>190.5</v>
          </cell>
          <cell r="I97">
            <v>60.5</v>
          </cell>
          <cell r="J97">
            <v>20.5</v>
          </cell>
          <cell r="K97">
            <v>100.5</v>
          </cell>
          <cell r="L97">
            <v>442.5</v>
          </cell>
          <cell r="M97">
            <v>300</v>
          </cell>
        </row>
        <row r="98">
          <cell r="B98" t="str">
            <v>April</v>
          </cell>
        </row>
        <row r="98">
          <cell r="D98" t="str">
            <v>Q2</v>
          </cell>
        </row>
        <row r="98">
          <cell r="F98" t="str">
            <v>Tuesday</v>
          </cell>
          <cell r="G98">
            <v>65.5</v>
          </cell>
          <cell r="H98">
            <v>200.5</v>
          </cell>
          <cell r="I98">
            <v>120.5</v>
          </cell>
          <cell r="J98">
            <v>10.5</v>
          </cell>
          <cell r="K98">
            <v>80.5</v>
          </cell>
          <cell r="L98">
            <v>477.5</v>
          </cell>
          <cell r="M98">
            <v>300</v>
          </cell>
        </row>
        <row r="99">
          <cell r="B99" t="str">
            <v>April</v>
          </cell>
        </row>
        <row r="99">
          <cell r="D99" t="str">
            <v>Q2</v>
          </cell>
        </row>
        <row r="99">
          <cell r="F99" t="str">
            <v>Wednesday</v>
          </cell>
          <cell r="G99">
            <v>50.5</v>
          </cell>
          <cell r="H99">
            <v>200.5</v>
          </cell>
          <cell r="I99">
            <v>110.5</v>
          </cell>
          <cell r="J99">
            <v>30.5</v>
          </cell>
          <cell r="K99">
            <v>0</v>
          </cell>
          <cell r="L99">
            <v>392</v>
          </cell>
          <cell r="M99">
            <v>300</v>
          </cell>
        </row>
        <row r="100">
          <cell r="B100" t="str">
            <v>April</v>
          </cell>
        </row>
        <row r="100">
          <cell r="D100" t="str">
            <v>Q2</v>
          </cell>
        </row>
        <row r="100">
          <cell r="F100" t="str">
            <v>Thursday</v>
          </cell>
          <cell r="G100">
            <v>0</v>
          </cell>
          <cell r="H100">
            <v>140.5</v>
          </cell>
          <cell r="I100">
            <v>90.5</v>
          </cell>
          <cell r="J100">
            <v>15.5</v>
          </cell>
          <cell r="K100">
            <v>0</v>
          </cell>
          <cell r="L100">
            <v>246.5</v>
          </cell>
          <cell r="M100">
            <v>300</v>
          </cell>
        </row>
        <row r="101">
          <cell r="B101" t="str">
            <v>April</v>
          </cell>
        </row>
        <row r="101">
          <cell r="D101" t="str">
            <v>Q2</v>
          </cell>
        </row>
        <row r="101">
          <cell r="F101" t="str">
            <v>Friday</v>
          </cell>
          <cell r="G101">
            <v>75.5</v>
          </cell>
          <cell r="H101">
            <v>150.5</v>
          </cell>
          <cell r="I101">
            <v>125.5</v>
          </cell>
          <cell r="J101">
            <v>15.5</v>
          </cell>
          <cell r="K101">
            <v>50.5</v>
          </cell>
          <cell r="L101">
            <v>417.5</v>
          </cell>
          <cell r="M101">
            <v>300</v>
          </cell>
        </row>
        <row r="102">
          <cell r="B102" t="str">
            <v>April</v>
          </cell>
        </row>
        <row r="102">
          <cell r="D102" t="str">
            <v>Q2</v>
          </cell>
        </row>
        <row r="102">
          <cell r="F102" t="str">
            <v>Saturday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300</v>
          </cell>
        </row>
        <row r="103">
          <cell r="B103" t="str">
            <v>April</v>
          </cell>
        </row>
        <row r="103">
          <cell r="D103" t="str">
            <v>Q2</v>
          </cell>
        </row>
        <row r="103">
          <cell r="F103" t="str">
            <v>Sunday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300</v>
          </cell>
        </row>
        <row r="104">
          <cell r="B104" t="str">
            <v>April</v>
          </cell>
        </row>
        <row r="104">
          <cell r="D104" t="str">
            <v>Q2</v>
          </cell>
        </row>
        <row r="104">
          <cell r="F104" t="str">
            <v>Monday</v>
          </cell>
          <cell r="G104">
            <v>95.5</v>
          </cell>
          <cell r="H104">
            <v>155.5</v>
          </cell>
          <cell r="I104">
            <v>65.5</v>
          </cell>
          <cell r="J104">
            <v>0</v>
          </cell>
          <cell r="K104">
            <v>80.5</v>
          </cell>
          <cell r="L104">
            <v>397</v>
          </cell>
          <cell r="M104">
            <v>300</v>
          </cell>
        </row>
        <row r="105">
          <cell r="B105" t="str">
            <v>April</v>
          </cell>
        </row>
        <row r="105">
          <cell r="D105" t="str">
            <v>Q2</v>
          </cell>
        </row>
        <row r="105">
          <cell r="F105" t="str">
            <v>Tuesday</v>
          </cell>
          <cell r="G105">
            <v>65.5</v>
          </cell>
          <cell r="H105">
            <v>200.5</v>
          </cell>
          <cell r="I105">
            <v>100.5</v>
          </cell>
          <cell r="J105">
            <v>15.5</v>
          </cell>
          <cell r="K105">
            <v>65.5</v>
          </cell>
          <cell r="L105">
            <v>447.5</v>
          </cell>
          <cell r="M105">
            <v>300</v>
          </cell>
        </row>
        <row r="106">
          <cell r="B106" t="str">
            <v>April</v>
          </cell>
        </row>
        <row r="106">
          <cell r="D106" t="str">
            <v>Q2</v>
          </cell>
        </row>
        <row r="106">
          <cell r="F106" t="str">
            <v>Wednesday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300</v>
          </cell>
        </row>
        <row r="107">
          <cell r="B107" t="str">
            <v>April</v>
          </cell>
        </row>
        <row r="107">
          <cell r="D107" t="str">
            <v>Q2</v>
          </cell>
        </row>
        <row r="107">
          <cell r="F107" t="str">
            <v>Thursday</v>
          </cell>
          <cell r="G107">
            <v>65.5</v>
          </cell>
          <cell r="H107">
            <v>0</v>
          </cell>
          <cell r="I107">
            <v>115.5</v>
          </cell>
          <cell r="J107">
            <v>0</v>
          </cell>
          <cell r="K107">
            <v>0</v>
          </cell>
          <cell r="L107">
            <v>181</v>
          </cell>
          <cell r="M107">
            <v>300</v>
          </cell>
        </row>
        <row r="108">
          <cell r="B108" t="str">
            <v>April</v>
          </cell>
        </row>
        <row r="108">
          <cell r="D108" t="str">
            <v>Q2</v>
          </cell>
        </row>
        <row r="108">
          <cell r="F108" t="str">
            <v>Friday</v>
          </cell>
          <cell r="G108">
            <v>105.5</v>
          </cell>
          <cell r="H108">
            <v>210.5</v>
          </cell>
          <cell r="I108">
            <v>125.5</v>
          </cell>
          <cell r="J108">
            <v>0</v>
          </cell>
          <cell r="K108">
            <v>0</v>
          </cell>
          <cell r="L108">
            <v>441.5</v>
          </cell>
          <cell r="M108">
            <v>300</v>
          </cell>
        </row>
        <row r="109">
          <cell r="B109" t="str">
            <v>April</v>
          </cell>
        </row>
        <row r="109">
          <cell r="D109" t="str">
            <v>Q2</v>
          </cell>
        </row>
        <row r="109">
          <cell r="F109" t="str">
            <v>Saturday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300</v>
          </cell>
        </row>
        <row r="110">
          <cell r="B110" t="str">
            <v>April</v>
          </cell>
        </row>
        <row r="110">
          <cell r="D110" t="str">
            <v>Q2</v>
          </cell>
        </row>
        <row r="110">
          <cell r="F110" t="str">
            <v>Sunday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300</v>
          </cell>
        </row>
        <row r="111">
          <cell r="B111" t="str">
            <v>April</v>
          </cell>
        </row>
        <row r="111">
          <cell r="D111" t="str">
            <v>Q2</v>
          </cell>
        </row>
        <row r="111">
          <cell r="F111" t="str">
            <v>Monday</v>
          </cell>
          <cell r="G111">
            <v>100.5</v>
          </cell>
          <cell r="H111">
            <v>195.5</v>
          </cell>
          <cell r="I111">
            <v>120.5</v>
          </cell>
          <cell r="J111">
            <v>15.5</v>
          </cell>
          <cell r="K111">
            <v>0</v>
          </cell>
          <cell r="L111">
            <v>432</v>
          </cell>
          <cell r="M111">
            <v>300</v>
          </cell>
        </row>
        <row r="112">
          <cell r="B112" t="str">
            <v>April</v>
          </cell>
        </row>
        <row r="112">
          <cell r="D112" t="str">
            <v>Q2</v>
          </cell>
        </row>
        <row r="112">
          <cell r="F112" t="str">
            <v>Tuesday</v>
          </cell>
          <cell r="G112">
            <v>55.5</v>
          </cell>
          <cell r="H112">
            <v>160.5</v>
          </cell>
          <cell r="I112">
            <v>95.5</v>
          </cell>
          <cell r="J112">
            <v>0</v>
          </cell>
          <cell r="K112">
            <v>65.5</v>
          </cell>
          <cell r="L112">
            <v>377</v>
          </cell>
          <cell r="M112">
            <v>300</v>
          </cell>
        </row>
        <row r="113">
          <cell r="B113" t="str">
            <v>April</v>
          </cell>
        </row>
        <row r="113">
          <cell r="D113" t="str">
            <v>Q2</v>
          </cell>
        </row>
        <row r="113">
          <cell r="F113" t="str">
            <v>Wednesday</v>
          </cell>
          <cell r="G113">
            <v>60.5</v>
          </cell>
          <cell r="H113">
            <v>130.5</v>
          </cell>
          <cell r="I113">
            <v>80.5</v>
          </cell>
          <cell r="J113">
            <v>15.5</v>
          </cell>
          <cell r="K113">
            <v>30.5</v>
          </cell>
          <cell r="L113">
            <v>317.5</v>
          </cell>
          <cell r="M113">
            <v>300</v>
          </cell>
        </row>
        <row r="114">
          <cell r="B114" t="str">
            <v>April</v>
          </cell>
        </row>
        <row r="114">
          <cell r="D114" t="str">
            <v>Q2</v>
          </cell>
        </row>
        <row r="114">
          <cell r="F114" t="str">
            <v>Thursday</v>
          </cell>
          <cell r="G114">
            <v>40.5</v>
          </cell>
          <cell r="H114">
            <v>190.5</v>
          </cell>
          <cell r="I114">
            <v>105.5</v>
          </cell>
          <cell r="J114">
            <v>10.5</v>
          </cell>
          <cell r="K114">
            <v>80.5</v>
          </cell>
          <cell r="L114">
            <v>427.5</v>
          </cell>
          <cell r="M114">
            <v>300</v>
          </cell>
        </row>
        <row r="115">
          <cell r="B115" t="str">
            <v>April</v>
          </cell>
        </row>
        <row r="115">
          <cell r="D115" t="str">
            <v>Q2</v>
          </cell>
        </row>
        <row r="115">
          <cell r="F115" t="str">
            <v>Friday</v>
          </cell>
          <cell r="G115">
            <v>80.5</v>
          </cell>
          <cell r="H115">
            <v>270.5</v>
          </cell>
          <cell r="I115">
            <v>75.5</v>
          </cell>
          <cell r="J115">
            <v>30.5</v>
          </cell>
          <cell r="K115">
            <v>0</v>
          </cell>
          <cell r="L115">
            <v>457</v>
          </cell>
          <cell r="M115">
            <v>300</v>
          </cell>
        </row>
        <row r="116">
          <cell r="B116" t="str">
            <v>April</v>
          </cell>
        </row>
        <row r="116">
          <cell r="D116" t="str">
            <v>Q2</v>
          </cell>
        </row>
        <row r="116">
          <cell r="F116" t="str">
            <v>Saturday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300</v>
          </cell>
        </row>
        <row r="117">
          <cell r="B117" t="str">
            <v>April</v>
          </cell>
        </row>
        <row r="117">
          <cell r="D117" t="str">
            <v>Q2</v>
          </cell>
        </row>
        <row r="117">
          <cell r="F117" t="str">
            <v>Sunday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300</v>
          </cell>
        </row>
        <row r="118">
          <cell r="B118" t="str">
            <v>April</v>
          </cell>
        </row>
        <row r="118">
          <cell r="D118" t="str">
            <v>Q2</v>
          </cell>
        </row>
        <row r="118">
          <cell r="F118" t="str">
            <v>Monday</v>
          </cell>
          <cell r="G118">
            <v>70.5</v>
          </cell>
          <cell r="H118">
            <v>145.5</v>
          </cell>
          <cell r="I118">
            <v>90.5</v>
          </cell>
          <cell r="J118">
            <v>20.5</v>
          </cell>
          <cell r="K118">
            <v>50.5</v>
          </cell>
          <cell r="L118">
            <v>377.5</v>
          </cell>
          <cell r="M118">
            <v>300</v>
          </cell>
        </row>
        <row r="119">
          <cell r="B119" t="str">
            <v>April</v>
          </cell>
        </row>
        <row r="119">
          <cell r="D119" t="str">
            <v>Q2</v>
          </cell>
        </row>
        <row r="119">
          <cell r="F119" t="str">
            <v>Tuesday</v>
          </cell>
          <cell r="G119">
            <v>55.5</v>
          </cell>
          <cell r="H119">
            <v>0</v>
          </cell>
          <cell r="I119">
            <v>0</v>
          </cell>
          <cell r="J119">
            <v>10.5</v>
          </cell>
          <cell r="K119">
            <v>65.5</v>
          </cell>
          <cell r="L119">
            <v>131.5</v>
          </cell>
          <cell r="M119">
            <v>300</v>
          </cell>
        </row>
        <row r="120">
          <cell r="B120" t="str">
            <v>April</v>
          </cell>
        </row>
        <row r="120">
          <cell r="D120" t="str">
            <v>Q2</v>
          </cell>
        </row>
        <row r="120">
          <cell r="F120" t="str">
            <v>Wednesday</v>
          </cell>
          <cell r="G120">
            <v>105.5</v>
          </cell>
          <cell r="H120">
            <v>0</v>
          </cell>
          <cell r="I120">
            <v>125.5</v>
          </cell>
          <cell r="J120">
            <v>30.5</v>
          </cell>
          <cell r="K120">
            <v>0</v>
          </cell>
          <cell r="L120">
            <v>261.5</v>
          </cell>
          <cell r="M120">
            <v>300</v>
          </cell>
        </row>
        <row r="121">
          <cell r="B121" t="str">
            <v>April</v>
          </cell>
        </row>
        <row r="121">
          <cell r="D121" t="str">
            <v>Q2</v>
          </cell>
        </row>
        <row r="121">
          <cell r="F121" t="str">
            <v>Thursday</v>
          </cell>
          <cell r="G121">
            <v>45.5</v>
          </cell>
          <cell r="H121">
            <v>185.5</v>
          </cell>
          <cell r="I121">
            <v>85.5</v>
          </cell>
          <cell r="J121">
            <v>0</v>
          </cell>
          <cell r="K121">
            <v>50.5</v>
          </cell>
          <cell r="L121">
            <v>367</v>
          </cell>
          <cell r="M121">
            <v>300</v>
          </cell>
        </row>
        <row r="122">
          <cell r="B122" t="str">
            <v>May</v>
          </cell>
        </row>
        <row r="122">
          <cell r="D122" t="str">
            <v>Q2</v>
          </cell>
        </row>
        <row r="122">
          <cell r="F122" t="str">
            <v>Friday</v>
          </cell>
          <cell r="G122">
            <v>75.5</v>
          </cell>
          <cell r="H122">
            <v>150.5</v>
          </cell>
          <cell r="I122">
            <v>0</v>
          </cell>
          <cell r="J122">
            <v>0</v>
          </cell>
          <cell r="K122">
            <v>50.5</v>
          </cell>
          <cell r="L122">
            <v>276.5</v>
          </cell>
          <cell r="M122">
            <v>300</v>
          </cell>
        </row>
        <row r="123">
          <cell r="B123" t="str">
            <v>May</v>
          </cell>
        </row>
        <row r="123">
          <cell r="D123" t="str">
            <v>Q2</v>
          </cell>
        </row>
        <row r="123">
          <cell r="F123" t="str">
            <v>Saturday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300</v>
          </cell>
        </row>
        <row r="124">
          <cell r="B124" t="str">
            <v>May</v>
          </cell>
        </row>
        <row r="124">
          <cell r="D124" t="str">
            <v>Q2</v>
          </cell>
        </row>
        <row r="124">
          <cell r="F124" t="str">
            <v>Sunday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300</v>
          </cell>
        </row>
        <row r="125">
          <cell r="B125" t="str">
            <v>May</v>
          </cell>
        </row>
        <row r="125">
          <cell r="D125" t="str">
            <v>Q2</v>
          </cell>
        </row>
        <row r="125">
          <cell r="F125" t="str">
            <v>Monday</v>
          </cell>
          <cell r="G125">
            <v>60.5</v>
          </cell>
          <cell r="H125">
            <v>200.5</v>
          </cell>
          <cell r="I125">
            <v>115.5</v>
          </cell>
          <cell r="J125">
            <v>25.5</v>
          </cell>
          <cell r="K125">
            <v>80.5</v>
          </cell>
          <cell r="L125">
            <v>482.5</v>
          </cell>
          <cell r="M125">
            <v>300</v>
          </cell>
        </row>
        <row r="126">
          <cell r="B126" t="str">
            <v>May</v>
          </cell>
        </row>
        <row r="126">
          <cell r="D126" t="str">
            <v>Q2</v>
          </cell>
        </row>
        <row r="126">
          <cell r="F126" t="str">
            <v>Tuesday</v>
          </cell>
          <cell r="G126">
            <v>35.5</v>
          </cell>
          <cell r="H126">
            <v>130.5</v>
          </cell>
          <cell r="I126">
            <v>0</v>
          </cell>
          <cell r="J126">
            <v>0</v>
          </cell>
          <cell r="K126">
            <v>45.5</v>
          </cell>
          <cell r="L126">
            <v>211.5</v>
          </cell>
          <cell r="M126">
            <v>300</v>
          </cell>
        </row>
        <row r="127">
          <cell r="B127" t="str">
            <v>May</v>
          </cell>
        </row>
        <row r="127">
          <cell r="D127" t="str">
            <v>Q2</v>
          </cell>
        </row>
        <row r="127">
          <cell r="F127" t="str">
            <v>Wednesday</v>
          </cell>
          <cell r="G127">
            <v>105.5</v>
          </cell>
          <cell r="H127">
            <v>230.5</v>
          </cell>
          <cell r="I127">
            <v>65.5</v>
          </cell>
          <cell r="J127">
            <v>25.5</v>
          </cell>
          <cell r="K127">
            <v>65.5</v>
          </cell>
          <cell r="L127">
            <v>492.5</v>
          </cell>
          <cell r="M127">
            <v>300</v>
          </cell>
        </row>
        <row r="128">
          <cell r="B128" t="str">
            <v>May</v>
          </cell>
        </row>
        <row r="128">
          <cell r="D128" t="str">
            <v>Q2</v>
          </cell>
        </row>
        <row r="128">
          <cell r="F128" t="str">
            <v>Thursday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300</v>
          </cell>
        </row>
        <row r="129">
          <cell r="B129" t="str">
            <v>May</v>
          </cell>
        </row>
        <row r="129">
          <cell r="D129" t="str">
            <v>Q2</v>
          </cell>
        </row>
        <row r="129">
          <cell r="F129" t="str">
            <v>Friday</v>
          </cell>
          <cell r="G129">
            <v>0</v>
          </cell>
          <cell r="H129">
            <v>145.5</v>
          </cell>
          <cell r="I129">
            <v>60.5</v>
          </cell>
          <cell r="J129">
            <v>20.5</v>
          </cell>
          <cell r="K129">
            <v>40.5</v>
          </cell>
          <cell r="L129">
            <v>267</v>
          </cell>
          <cell r="M129">
            <v>300</v>
          </cell>
        </row>
        <row r="130">
          <cell r="B130" t="str">
            <v>May</v>
          </cell>
        </row>
        <row r="130">
          <cell r="D130" t="str">
            <v>Q2</v>
          </cell>
        </row>
        <row r="130">
          <cell r="F130" t="str">
            <v>Saturday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300</v>
          </cell>
        </row>
        <row r="131">
          <cell r="B131" t="str">
            <v>May</v>
          </cell>
        </row>
        <row r="131">
          <cell r="D131" t="str">
            <v>Q2</v>
          </cell>
        </row>
        <row r="131">
          <cell r="F131" t="str">
            <v>Sunday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300</v>
          </cell>
        </row>
        <row r="132">
          <cell r="B132" t="str">
            <v>May</v>
          </cell>
        </row>
        <row r="132">
          <cell r="D132" t="str">
            <v>Q2</v>
          </cell>
        </row>
        <row r="132">
          <cell r="F132" t="str">
            <v>Monday</v>
          </cell>
          <cell r="G132">
            <v>45.5</v>
          </cell>
          <cell r="H132">
            <v>0</v>
          </cell>
          <cell r="I132">
            <v>95.5</v>
          </cell>
          <cell r="J132">
            <v>0</v>
          </cell>
          <cell r="K132">
            <v>50.5</v>
          </cell>
          <cell r="L132">
            <v>191.5</v>
          </cell>
          <cell r="M132">
            <v>300</v>
          </cell>
        </row>
        <row r="133">
          <cell r="B133" t="str">
            <v>May</v>
          </cell>
        </row>
        <row r="133">
          <cell r="D133" t="str">
            <v>Q2</v>
          </cell>
        </row>
        <row r="133">
          <cell r="F133" t="str">
            <v>Tuesday</v>
          </cell>
          <cell r="G133">
            <v>50.5</v>
          </cell>
          <cell r="H133">
            <v>120.5</v>
          </cell>
          <cell r="I133">
            <v>75.5</v>
          </cell>
          <cell r="J133">
            <v>0</v>
          </cell>
          <cell r="K133">
            <v>0</v>
          </cell>
          <cell r="L133">
            <v>246.5</v>
          </cell>
          <cell r="M133">
            <v>300</v>
          </cell>
        </row>
        <row r="134">
          <cell r="B134" t="str">
            <v>May</v>
          </cell>
        </row>
        <row r="134">
          <cell r="D134" t="str">
            <v>Q2</v>
          </cell>
        </row>
        <row r="134">
          <cell r="F134" t="str">
            <v>Wednesday</v>
          </cell>
          <cell r="G134">
            <v>70.5</v>
          </cell>
          <cell r="H134">
            <v>0</v>
          </cell>
          <cell r="I134">
            <v>65.5</v>
          </cell>
          <cell r="J134">
            <v>15.5</v>
          </cell>
          <cell r="K134">
            <v>80.5</v>
          </cell>
          <cell r="L134">
            <v>232</v>
          </cell>
          <cell r="M134">
            <v>300</v>
          </cell>
        </row>
        <row r="135">
          <cell r="B135" t="str">
            <v>May</v>
          </cell>
        </row>
        <row r="135">
          <cell r="D135" t="str">
            <v>Q2</v>
          </cell>
        </row>
        <row r="135">
          <cell r="F135" t="str">
            <v>Thursday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300</v>
          </cell>
        </row>
        <row r="136">
          <cell r="B136" t="str">
            <v>May</v>
          </cell>
        </row>
        <row r="136">
          <cell r="D136" t="str">
            <v>Q2</v>
          </cell>
        </row>
        <row r="136">
          <cell r="F136" t="str">
            <v>Friday</v>
          </cell>
          <cell r="G136">
            <v>0</v>
          </cell>
          <cell r="H136">
            <v>365.5</v>
          </cell>
          <cell r="I136">
            <v>145.5</v>
          </cell>
          <cell r="J136">
            <v>15.5</v>
          </cell>
          <cell r="K136">
            <v>80.5</v>
          </cell>
          <cell r="L136">
            <v>607</v>
          </cell>
          <cell r="M136">
            <v>300</v>
          </cell>
        </row>
        <row r="137">
          <cell r="B137" t="str">
            <v>May</v>
          </cell>
        </row>
        <row r="137">
          <cell r="D137" t="str">
            <v>Q2</v>
          </cell>
        </row>
        <row r="137">
          <cell r="F137" t="str">
            <v>Saturday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300</v>
          </cell>
        </row>
        <row r="138">
          <cell r="B138" t="str">
            <v>May</v>
          </cell>
        </row>
        <row r="138">
          <cell r="D138" t="str">
            <v>Q2</v>
          </cell>
        </row>
        <row r="138">
          <cell r="F138" t="str">
            <v>Sunday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300</v>
          </cell>
        </row>
        <row r="139">
          <cell r="B139" t="str">
            <v>May</v>
          </cell>
        </row>
        <row r="139">
          <cell r="D139" t="str">
            <v>Q2</v>
          </cell>
        </row>
        <row r="139">
          <cell r="F139" t="str">
            <v>Monday</v>
          </cell>
          <cell r="G139">
            <v>60.5</v>
          </cell>
          <cell r="H139">
            <v>195.5</v>
          </cell>
          <cell r="I139">
            <v>75.5</v>
          </cell>
          <cell r="J139">
            <v>25.5</v>
          </cell>
          <cell r="K139">
            <v>87.5</v>
          </cell>
          <cell r="L139">
            <v>444.5</v>
          </cell>
          <cell r="M139">
            <v>300</v>
          </cell>
        </row>
        <row r="140">
          <cell r="B140" t="str">
            <v>May</v>
          </cell>
        </row>
        <row r="140">
          <cell r="D140" t="str">
            <v>Q2</v>
          </cell>
        </row>
        <row r="140">
          <cell r="F140" t="str">
            <v>Tuesday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300</v>
          </cell>
        </row>
        <row r="141">
          <cell r="B141" t="str">
            <v>May</v>
          </cell>
        </row>
        <row r="141">
          <cell r="D141" t="str">
            <v>Q2</v>
          </cell>
        </row>
        <row r="141">
          <cell r="F141" t="str">
            <v>Wednesday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300</v>
          </cell>
        </row>
        <row r="142">
          <cell r="B142" t="str">
            <v>May</v>
          </cell>
        </row>
        <row r="142">
          <cell r="D142" t="str">
            <v>Q2</v>
          </cell>
        </row>
        <row r="142">
          <cell r="F142" t="str">
            <v>Thursday</v>
          </cell>
          <cell r="G142">
            <v>90.5</v>
          </cell>
          <cell r="H142">
            <v>190.5</v>
          </cell>
          <cell r="I142">
            <v>100.5</v>
          </cell>
          <cell r="J142">
            <v>20.5</v>
          </cell>
          <cell r="K142">
            <v>65.5</v>
          </cell>
          <cell r="L142">
            <v>467.5</v>
          </cell>
          <cell r="M142">
            <v>300</v>
          </cell>
        </row>
        <row r="143">
          <cell r="B143" t="str">
            <v>May</v>
          </cell>
        </row>
        <row r="143">
          <cell r="D143" t="str">
            <v>Q2</v>
          </cell>
        </row>
        <row r="143">
          <cell r="F143" t="str">
            <v>Friday</v>
          </cell>
          <cell r="G143">
            <v>90.5</v>
          </cell>
          <cell r="H143">
            <v>180.5</v>
          </cell>
          <cell r="I143">
            <v>0</v>
          </cell>
          <cell r="J143">
            <v>0</v>
          </cell>
          <cell r="K143">
            <v>67.5</v>
          </cell>
          <cell r="L143">
            <v>338.5</v>
          </cell>
          <cell r="M143">
            <v>300</v>
          </cell>
        </row>
        <row r="144">
          <cell r="B144" t="str">
            <v>May</v>
          </cell>
        </row>
        <row r="144">
          <cell r="D144" t="str">
            <v>Q2</v>
          </cell>
        </row>
        <row r="144">
          <cell r="F144" t="str">
            <v>Saturday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300</v>
          </cell>
        </row>
        <row r="145">
          <cell r="B145" t="str">
            <v>May</v>
          </cell>
        </row>
        <row r="145">
          <cell r="D145" t="str">
            <v>Q2</v>
          </cell>
        </row>
        <row r="145">
          <cell r="F145" t="str">
            <v>Sunday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300</v>
          </cell>
        </row>
        <row r="146">
          <cell r="B146" t="str">
            <v>May</v>
          </cell>
        </row>
        <row r="146">
          <cell r="D146" t="str">
            <v>Q2</v>
          </cell>
        </row>
        <row r="146">
          <cell r="F146" t="str">
            <v>Monday</v>
          </cell>
          <cell r="G146">
            <v>60.5</v>
          </cell>
          <cell r="H146">
            <v>150.5</v>
          </cell>
          <cell r="I146">
            <v>80.5</v>
          </cell>
          <cell r="J146">
            <v>0</v>
          </cell>
          <cell r="K146">
            <v>30.5</v>
          </cell>
          <cell r="L146">
            <v>322</v>
          </cell>
          <cell r="M146">
            <v>300</v>
          </cell>
        </row>
        <row r="147">
          <cell r="B147" t="str">
            <v>May</v>
          </cell>
        </row>
        <row r="147">
          <cell r="D147" t="str">
            <v>Q2</v>
          </cell>
        </row>
        <row r="147">
          <cell r="F147" t="str">
            <v>Tuesday</v>
          </cell>
          <cell r="G147">
            <v>40.5</v>
          </cell>
          <cell r="H147">
            <v>155.5</v>
          </cell>
          <cell r="I147">
            <v>0</v>
          </cell>
          <cell r="J147">
            <v>25.5</v>
          </cell>
          <cell r="K147">
            <v>40.5</v>
          </cell>
          <cell r="L147">
            <v>262</v>
          </cell>
          <cell r="M147">
            <v>300</v>
          </cell>
        </row>
        <row r="148">
          <cell r="B148" t="str">
            <v>May</v>
          </cell>
        </row>
        <row r="148">
          <cell r="D148" t="str">
            <v>Q2</v>
          </cell>
        </row>
        <row r="148">
          <cell r="F148" t="str">
            <v>Wednesday</v>
          </cell>
          <cell r="G148">
            <v>65.5</v>
          </cell>
          <cell r="H148">
            <v>120.5</v>
          </cell>
          <cell r="I148">
            <v>80.5</v>
          </cell>
          <cell r="J148">
            <v>15.5</v>
          </cell>
          <cell r="K148">
            <v>60.5</v>
          </cell>
          <cell r="L148">
            <v>342.5</v>
          </cell>
          <cell r="M148">
            <v>300</v>
          </cell>
        </row>
        <row r="149">
          <cell r="B149" t="str">
            <v>May</v>
          </cell>
        </row>
        <row r="149">
          <cell r="D149" t="str">
            <v>Q2</v>
          </cell>
        </row>
        <row r="149">
          <cell r="F149" t="str">
            <v>Thursday</v>
          </cell>
          <cell r="G149">
            <v>45.5</v>
          </cell>
          <cell r="H149">
            <v>180.5</v>
          </cell>
          <cell r="I149">
            <v>45.5</v>
          </cell>
          <cell r="J149">
            <v>0</v>
          </cell>
          <cell r="K149">
            <v>90.5</v>
          </cell>
          <cell r="L149">
            <v>362</v>
          </cell>
          <cell r="M149">
            <v>300</v>
          </cell>
        </row>
        <row r="150">
          <cell r="B150" t="str">
            <v>May</v>
          </cell>
        </row>
        <row r="150">
          <cell r="D150" t="str">
            <v>Q2</v>
          </cell>
        </row>
        <row r="150">
          <cell r="F150" t="str">
            <v>Friday</v>
          </cell>
          <cell r="G150">
            <v>57.5</v>
          </cell>
          <cell r="H150">
            <v>170.5</v>
          </cell>
          <cell r="I150">
            <v>0</v>
          </cell>
          <cell r="J150">
            <v>0</v>
          </cell>
          <cell r="K150">
            <v>65.5</v>
          </cell>
          <cell r="L150">
            <v>293.5</v>
          </cell>
          <cell r="M150">
            <v>300</v>
          </cell>
        </row>
        <row r="151">
          <cell r="B151" t="str">
            <v>May</v>
          </cell>
        </row>
        <row r="151">
          <cell r="D151" t="str">
            <v>Q2</v>
          </cell>
        </row>
        <row r="151">
          <cell r="F151" t="str">
            <v>Saturday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300</v>
          </cell>
        </row>
        <row r="152">
          <cell r="B152" t="str">
            <v>May</v>
          </cell>
        </row>
        <row r="152">
          <cell r="D152" t="str">
            <v>Q2</v>
          </cell>
        </row>
        <row r="152">
          <cell r="F152" t="str">
            <v>Sunday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300</v>
          </cell>
        </row>
        <row r="153">
          <cell r="B153" t="str">
            <v>June</v>
          </cell>
        </row>
        <row r="153">
          <cell r="D153" t="str">
            <v>Q2</v>
          </cell>
        </row>
        <row r="153">
          <cell r="F153" t="str">
            <v>Monday</v>
          </cell>
          <cell r="G153">
            <v>0</v>
          </cell>
          <cell r="H153">
            <v>180.5</v>
          </cell>
          <cell r="I153">
            <v>65.5</v>
          </cell>
          <cell r="J153">
            <v>0</v>
          </cell>
          <cell r="K153">
            <v>65.5</v>
          </cell>
          <cell r="L153">
            <v>311.5</v>
          </cell>
          <cell r="M153">
            <v>300</v>
          </cell>
        </row>
        <row r="154">
          <cell r="B154" t="str">
            <v>June</v>
          </cell>
        </row>
        <row r="154">
          <cell r="D154" t="str">
            <v>Q2</v>
          </cell>
        </row>
        <row r="154">
          <cell r="F154" t="str">
            <v>Tuesday</v>
          </cell>
          <cell r="G154">
            <v>75.5</v>
          </cell>
          <cell r="H154">
            <v>0</v>
          </cell>
          <cell r="I154">
            <v>80.5</v>
          </cell>
          <cell r="J154">
            <v>0</v>
          </cell>
          <cell r="K154">
            <v>40.5</v>
          </cell>
          <cell r="L154">
            <v>196.5</v>
          </cell>
          <cell r="M154">
            <v>300</v>
          </cell>
        </row>
        <row r="155">
          <cell r="B155" t="str">
            <v>June</v>
          </cell>
        </row>
        <row r="155">
          <cell r="D155" t="str">
            <v>Q2</v>
          </cell>
        </row>
        <row r="155">
          <cell r="F155" t="str">
            <v>Wednesday</v>
          </cell>
          <cell r="G155">
            <v>50.5</v>
          </cell>
          <cell r="H155">
            <v>125.5</v>
          </cell>
          <cell r="I155">
            <v>0</v>
          </cell>
          <cell r="J155">
            <v>20.5</v>
          </cell>
          <cell r="K155">
            <v>30.5</v>
          </cell>
          <cell r="L155">
            <v>227</v>
          </cell>
          <cell r="M155">
            <v>300</v>
          </cell>
        </row>
        <row r="156">
          <cell r="B156" t="str">
            <v>June</v>
          </cell>
        </row>
        <row r="156">
          <cell r="D156" t="str">
            <v>Q2</v>
          </cell>
        </row>
        <row r="156">
          <cell r="F156" t="str">
            <v>Thursday</v>
          </cell>
          <cell r="G156">
            <v>95.5</v>
          </cell>
          <cell r="H156">
            <v>195.5</v>
          </cell>
          <cell r="I156">
            <v>65.5</v>
          </cell>
          <cell r="J156">
            <v>0</v>
          </cell>
          <cell r="K156">
            <v>100.5</v>
          </cell>
          <cell r="L156">
            <v>457</v>
          </cell>
          <cell r="M156">
            <v>300</v>
          </cell>
        </row>
        <row r="157">
          <cell r="B157" t="str">
            <v>June</v>
          </cell>
        </row>
        <row r="157">
          <cell r="D157" t="str">
            <v>Q2</v>
          </cell>
        </row>
        <row r="157">
          <cell r="F157" t="str">
            <v>Friday</v>
          </cell>
          <cell r="G157">
            <v>100.5</v>
          </cell>
          <cell r="H157">
            <v>150.5</v>
          </cell>
          <cell r="I157">
            <v>130.5</v>
          </cell>
          <cell r="J157">
            <v>30.5</v>
          </cell>
          <cell r="K157">
            <v>0</v>
          </cell>
          <cell r="L157">
            <v>412</v>
          </cell>
          <cell r="M157">
            <v>300</v>
          </cell>
        </row>
        <row r="158">
          <cell r="B158" t="str">
            <v>June</v>
          </cell>
        </row>
        <row r="158">
          <cell r="D158" t="str">
            <v>Q2</v>
          </cell>
        </row>
        <row r="158">
          <cell r="F158" t="str">
            <v>Saturday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300</v>
          </cell>
        </row>
        <row r="159">
          <cell r="B159" t="str">
            <v>June</v>
          </cell>
        </row>
        <row r="159">
          <cell r="D159" t="str">
            <v>Q2</v>
          </cell>
        </row>
        <row r="159">
          <cell r="F159" t="str">
            <v>Sunday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300</v>
          </cell>
        </row>
        <row r="160">
          <cell r="B160" t="str">
            <v>June</v>
          </cell>
        </row>
        <row r="160">
          <cell r="D160" t="str">
            <v>Q2</v>
          </cell>
        </row>
        <row r="160">
          <cell r="F160" t="str">
            <v>Monday</v>
          </cell>
          <cell r="G160">
            <v>0</v>
          </cell>
          <cell r="H160">
            <v>160.5</v>
          </cell>
          <cell r="I160">
            <v>60.5</v>
          </cell>
          <cell r="J160">
            <v>0</v>
          </cell>
          <cell r="K160">
            <v>100.5</v>
          </cell>
          <cell r="L160">
            <v>321.5</v>
          </cell>
          <cell r="M160">
            <v>300</v>
          </cell>
        </row>
        <row r="161">
          <cell r="B161" t="str">
            <v>June</v>
          </cell>
        </row>
        <row r="161">
          <cell r="D161" t="str">
            <v>Q2</v>
          </cell>
        </row>
        <row r="161">
          <cell r="F161" t="str">
            <v>Tuesday</v>
          </cell>
          <cell r="G161">
            <v>110.5</v>
          </cell>
          <cell r="H161">
            <v>200.5</v>
          </cell>
          <cell r="I161">
            <v>105.5</v>
          </cell>
          <cell r="J161">
            <v>10.5</v>
          </cell>
          <cell r="K161">
            <v>0</v>
          </cell>
          <cell r="L161">
            <v>427</v>
          </cell>
          <cell r="M161">
            <v>300</v>
          </cell>
        </row>
        <row r="162">
          <cell r="B162" t="str">
            <v>June</v>
          </cell>
        </row>
        <row r="162">
          <cell r="D162" t="str">
            <v>Q2</v>
          </cell>
        </row>
        <row r="162">
          <cell r="F162" t="str">
            <v>Wednesday</v>
          </cell>
          <cell r="G162">
            <v>60.5</v>
          </cell>
          <cell r="H162">
            <v>215.5</v>
          </cell>
          <cell r="I162">
            <v>0</v>
          </cell>
          <cell r="J162">
            <v>20.5</v>
          </cell>
          <cell r="K162">
            <v>30.5</v>
          </cell>
          <cell r="L162">
            <v>327</v>
          </cell>
          <cell r="M162">
            <v>300</v>
          </cell>
        </row>
        <row r="163">
          <cell r="B163" t="str">
            <v>June</v>
          </cell>
        </row>
        <row r="163">
          <cell r="D163" t="str">
            <v>Q2</v>
          </cell>
        </row>
        <row r="163">
          <cell r="F163" t="str">
            <v>Thursday</v>
          </cell>
          <cell r="G163">
            <v>50.5</v>
          </cell>
          <cell r="H163">
            <v>140.5</v>
          </cell>
          <cell r="I163">
            <v>90.5</v>
          </cell>
          <cell r="J163">
            <v>30.5</v>
          </cell>
          <cell r="K163">
            <v>30.5</v>
          </cell>
          <cell r="L163">
            <v>342.5</v>
          </cell>
          <cell r="M163">
            <v>300</v>
          </cell>
        </row>
        <row r="164">
          <cell r="B164" t="str">
            <v>June</v>
          </cell>
        </row>
        <row r="164">
          <cell r="D164" t="str">
            <v>Q2</v>
          </cell>
        </row>
        <row r="164">
          <cell r="F164" t="str">
            <v>Friday</v>
          </cell>
          <cell r="G164">
            <v>70.5</v>
          </cell>
          <cell r="H164">
            <v>0</v>
          </cell>
          <cell r="I164">
            <v>0</v>
          </cell>
          <cell r="J164">
            <v>15.5</v>
          </cell>
          <cell r="K164">
            <v>0</v>
          </cell>
          <cell r="L164">
            <v>86</v>
          </cell>
          <cell r="M164">
            <v>300</v>
          </cell>
        </row>
        <row r="165">
          <cell r="B165" t="str">
            <v>June</v>
          </cell>
        </row>
        <row r="165">
          <cell r="D165" t="str">
            <v>Q2</v>
          </cell>
        </row>
        <row r="165">
          <cell r="F165" t="str">
            <v>Saturday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300</v>
          </cell>
        </row>
        <row r="166">
          <cell r="B166" t="str">
            <v>June</v>
          </cell>
        </row>
        <row r="166">
          <cell r="D166" t="str">
            <v>Q2</v>
          </cell>
        </row>
        <row r="166">
          <cell r="F166" t="str">
            <v>Sunday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300</v>
          </cell>
        </row>
        <row r="167">
          <cell r="B167" t="str">
            <v>June</v>
          </cell>
        </row>
        <row r="167">
          <cell r="D167" t="str">
            <v>Q2</v>
          </cell>
        </row>
        <row r="167">
          <cell r="F167" t="str">
            <v>Monday</v>
          </cell>
          <cell r="G167">
            <v>65.5</v>
          </cell>
          <cell r="H167">
            <v>0</v>
          </cell>
          <cell r="I167">
            <v>60.5</v>
          </cell>
          <cell r="J167">
            <v>25.5</v>
          </cell>
          <cell r="K167">
            <v>30.5</v>
          </cell>
          <cell r="L167">
            <v>182</v>
          </cell>
          <cell r="M167">
            <v>300</v>
          </cell>
        </row>
        <row r="168">
          <cell r="B168" t="str">
            <v>June</v>
          </cell>
        </row>
        <row r="168">
          <cell r="D168" t="str">
            <v>Q2</v>
          </cell>
        </row>
        <row r="168">
          <cell r="F168" t="str">
            <v>Tuesday</v>
          </cell>
          <cell r="G168">
            <v>70.5</v>
          </cell>
          <cell r="H168">
            <v>150.5</v>
          </cell>
          <cell r="I168">
            <v>105.5</v>
          </cell>
          <cell r="J168">
            <v>15.5</v>
          </cell>
          <cell r="K168">
            <v>40.5</v>
          </cell>
          <cell r="L168">
            <v>382.5</v>
          </cell>
          <cell r="M168">
            <v>300</v>
          </cell>
        </row>
        <row r="169">
          <cell r="B169" t="str">
            <v>June</v>
          </cell>
        </row>
        <row r="169">
          <cell r="D169" t="str">
            <v>Q2</v>
          </cell>
        </row>
        <row r="169">
          <cell r="F169" t="str">
            <v>Wednesday</v>
          </cell>
          <cell r="G169">
            <v>80.5</v>
          </cell>
          <cell r="H169">
            <v>190.5</v>
          </cell>
          <cell r="I169">
            <v>55.5</v>
          </cell>
          <cell r="J169">
            <v>0</v>
          </cell>
          <cell r="K169">
            <v>0</v>
          </cell>
          <cell r="L169">
            <v>326.5</v>
          </cell>
          <cell r="M169">
            <v>300</v>
          </cell>
        </row>
        <row r="170">
          <cell r="B170" t="str">
            <v>June</v>
          </cell>
        </row>
        <row r="170">
          <cell r="D170" t="str">
            <v>Q2</v>
          </cell>
        </row>
        <row r="170">
          <cell r="F170" t="str">
            <v>Thursday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300</v>
          </cell>
        </row>
        <row r="171">
          <cell r="B171" t="str">
            <v>June</v>
          </cell>
        </row>
        <row r="171">
          <cell r="D171" t="str">
            <v>Q2</v>
          </cell>
        </row>
        <row r="171">
          <cell r="F171" t="str">
            <v>Friday</v>
          </cell>
          <cell r="G171">
            <v>125.5</v>
          </cell>
          <cell r="H171">
            <v>185.5</v>
          </cell>
          <cell r="I171">
            <v>160.5</v>
          </cell>
          <cell r="J171">
            <v>30.5</v>
          </cell>
          <cell r="K171">
            <v>100.5</v>
          </cell>
          <cell r="L171">
            <v>602.5</v>
          </cell>
          <cell r="M171">
            <v>300</v>
          </cell>
        </row>
        <row r="172">
          <cell r="B172" t="str">
            <v>June</v>
          </cell>
        </row>
        <row r="172">
          <cell r="D172" t="str">
            <v>Q2</v>
          </cell>
        </row>
        <row r="172">
          <cell r="F172" t="str">
            <v>Saturday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300</v>
          </cell>
        </row>
        <row r="173">
          <cell r="B173" t="str">
            <v>June</v>
          </cell>
        </row>
        <row r="173">
          <cell r="D173" t="str">
            <v>Q2</v>
          </cell>
        </row>
        <row r="173">
          <cell r="F173" t="str">
            <v>Sunday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300</v>
          </cell>
        </row>
        <row r="174">
          <cell r="B174" t="str">
            <v>June</v>
          </cell>
        </row>
        <row r="174">
          <cell r="D174" t="str">
            <v>Q2</v>
          </cell>
        </row>
        <row r="174">
          <cell r="F174" t="str">
            <v>Monday</v>
          </cell>
          <cell r="G174">
            <v>0</v>
          </cell>
          <cell r="H174">
            <v>110.5</v>
          </cell>
          <cell r="I174">
            <v>85.5</v>
          </cell>
          <cell r="J174">
            <v>10.5</v>
          </cell>
          <cell r="K174">
            <v>0</v>
          </cell>
          <cell r="L174">
            <v>206.5</v>
          </cell>
          <cell r="M174">
            <v>300</v>
          </cell>
        </row>
        <row r="175">
          <cell r="B175" t="str">
            <v>June</v>
          </cell>
        </row>
        <row r="175">
          <cell r="D175" t="str">
            <v>Q2</v>
          </cell>
        </row>
        <row r="175">
          <cell r="F175" t="str">
            <v>Tuesday</v>
          </cell>
          <cell r="G175">
            <v>0</v>
          </cell>
          <cell r="H175">
            <v>125.5</v>
          </cell>
          <cell r="I175">
            <v>55.5</v>
          </cell>
          <cell r="J175">
            <v>0</v>
          </cell>
          <cell r="K175">
            <v>80.5</v>
          </cell>
          <cell r="L175">
            <v>261.5</v>
          </cell>
          <cell r="M175">
            <v>300</v>
          </cell>
        </row>
        <row r="176">
          <cell r="B176" t="str">
            <v>June</v>
          </cell>
        </row>
        <row r="176">
          <cell r="D176" t="str">
            <v>Q2</v>
          </cell>
        </row>
        <row r="176">
          <cell r="F176" t="str">
            <v>Wednesday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300</v>
          </cell>
        </row>
        <row r="177">
          <cell r="B177" t="str">
            <v>June</v>
          </cell>
        </row>
        <row r="177">
          <cell r="D177" t="str">
            <v>Q2</v>
          </cell>
        </row>
        <row r="177">
          <cell r="F177" t="str">
            <v>Thursday</v>
          </cell>
          <cell r="G177">
            <v>0</v>
          </cell>
          <cell r="H177">
            <v>145.5</v>
          </cell>
          <cell r="I177">
            <v>85.5</v>
          </cell>
          <cell r="J177">
            <v>10.5</v>
          </cell>
          <cell r="K177">
            <v>80.5</v>
          </cell>
          <cell r="L177">
            <v>322</v>
          </cell>
          <cell r="M177">
            <v>300</v>
          </cell>
        </row>
        <row r="178">
          <cell r="B178" t="str">
            <v>June</v>
          </cell>
        </row>
        <row r="178">
          <cell r="D178" t="str">
            <v>Q2</v>
          </cell>
        </row>
        <row r="178">
          <cell r="F178" t="str">
            <v>Friday</v>
          </cell>
          <cell r="G178">
            <v>0</v>
          </cell>
          <cell r="H178">
            <v>270.5</v>
          </cell>
          <cell r="I178">
            <v>85.5</v>
          </cell>
          <cell r="J178">
            <v>30.5</v>
          </cell>
          <cell r="K178">
            <v>100.5</v>
          </cell>
          <cell r="L178">
            <v>487</v>
          </cell>
          <cell r="M178">
            <v>300</v>
          </cell>
        </row>
        <row r="179">
          <cell r="B179" t="str">
            <v>June</v>
          </cell>
        </row>
        <row r="179">
          <cell r="D179" t="str">
            <v>Q2</v>
          </cell>
        </row>
        <row r="179">
          <cell r="F179" t="str">
            <v>Saturday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300</v>
          </cell>
        </row>
        <row r="180">
          <cell r="B180" t="str">
            <v>June</v>
          </cell>
        </row>
        <row r="180">
          <cell r="D180" t="str">
            <v>Q2</v>
          </cell>
        </row>
        <row r="180">
          <cell r="F180" t="str">
            <v>Sunday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300</v>
          </cell>
        </row>
        <row r="181">
          <cell r="B181" t="str">
            <v>June</v>
          </cell>
        </row>
        <row r="181">
          <cell r="D181" t="str">
            <v>Q2</v>
          </cell>
        </row>
        <row r="181">
          <cell r="F181" t="str">
            <v>Monday</v>
          </cell>
          <cell r="G181">
            <v>75.5</v>
          </cell>
          <cell r="H181">
            <v>175.5</v>
          </cell>
          <cell r="I181">
            <v>0</v>
          </cell>
          <cell r="J181">
            <v>0</v>
          </cell>
          <cell r="K181">
            <v>65.5</v>
          </cell>
          <cell r="L181">
            <v>316.5</v>
          </cell>
          <cell r="M181">
            <v>300</v>
          </cell>
        </row>
        <row r="182">
          <cell r="B182" t="str">
            <v>June</v>
          </cell>
        </row>
        <row r="182">
          <cell r="D182" t="str">
            <v>Q2</v>
          </cell>
        </row>
        <row r="182">
          <cell r="F182" t="str">
            <v>Tuesday</v>
          </cell>
          <cell r="G182">
            <v>0</v>
          </cell>
          <cell r="H182">
            <v>180.5</v>
          </cell>
          <cell r="I182">
            <v>0</v>
          </cell>
          <cell r="J182">
            <v>10.5</v>
          </cell>
          <cell r="K182">
            <v>40.5</v>
          </cell>
          <cell r="L182">
            <v>231.5</v>
          </cell>
          <cell r="M182">
            <v>300</v>
          </cell>
        </row>
        <row r="183">
          <cell r="B183" t="str">
            <v>July</v>
          </cell>
        </row>
        <row r="183">
          <cell r="D183" t="str">
            <v>Q3</v>
          </cell>
        </row>
        <row r="183">
          <cell r="F183" t="str">
            <v>Wednesday</v>
          </cell>
          <cell r="G183">
            <v>34.5</v>
          </cell>
          <cell r="H183">
            <v>78.5</v>
          </cell>
          <cell r="I183">
            <v>0</v>
          </cell>
          <cell r="J183">
            <v>0</v>
          </cell>
          <cell r="K183">
            <v>80.5</v>
          </cell>
          <cell r="L183">
            <v>193.5</v>
          </cell>
          <cell r="M183">
            <v>300</v>
          </cell>
        </row>
        <row r="184">
          <cell r="B184" t="str">
            <v>July</v>
          </cell>
        </row>
        <row r="184">
          <cell r="D184" t="str">
            <v>Q3</v>
          </cell>
        </row>
        <row r="184">
          <cell r="F184" t="str">
            <v>Thursday</v>
          </cell>
          <cell r="G184">
            <v>95.5</v>
          </cell>
          <cell r="H184">
            <v>135.5</v>
          </cell>
          <cell r="I184">
            <v>105.5</v>
          </cell>
          <cell r="J184">
            <v>10.5</v>
          </cell>
          <cell r="K184">
            <v>0</v>
          </cell>
          <cell r="L184">
            <v>347</v>
          </cell>
          <cell r="M184">
            <v>300</v>
          </cell>
        </row>
        <row r="185">
          <cell r="B185" t="str">
            <v>July</v>
          </cell>
        </row>
        <row r="185">
          <cell r="D185" t="str">
            <v>Q3</v>
          </cell>
        </row>
        <row r="185">
          <cell r="F185" t="str">
            <v>Friday</v>
          </cell>
          <cell r="G185">
            <v>0</v>
          </cell>
          <cell r="H185">
            <v>265.5</v>
          </cell>
          <cell r="I185">
            <v>160.5</v>
          </cell>
          <cell r="J185">
            <v>25.5</v>
          </cell>
          <cell r="K185">
            <v>80.5</v>
          </cell>
          <cell r="L185">
            <v>532</v>
          </cell>
          <cell r="M185">
            <v>300</v>
          </cell>
        </row>
        <row r="186">
          <cell r="B186" t="str">
            <v>July</v>
          </cell>
        </row>
        <row r="186">
          <cell r="D186" t="str">
            <v>Q3</v>
          </cell>
        </row>
        <row r="186">
          <cell r="F186" t="str">
            <v>Saturday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300</v>
          </cell>
        </row>
        <row r="187">
          <cell r="B187" t="str">
            <v>July</v>
          </cell>
        </row>
        <row r="187">
          <cell r="D187" t="str">
            <v>Q3</v>
          </cell>
        </row>
        <row r="187">
          <cell r="F187" t="str">
            <v>Sunday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300</v>
          </cell>
        </row>
        <row r="188">
          <cell r="B188" t="str">
            <v>July</v>
          </cell>
        </row>
        <row r="188">
          <cell r="D188" t="str">
            <v>Q3</v>
          </cell>
        </row>
        <row r="188">
          <cell r="F188" t="str">
            <v>Monday</v>
          </cell>
          <cell r="G188">
            <v>70.5</v>
          </cell>
          <cell r="H188">
            <v>205.5</v>
          </cell>
          <cell r="I188">
            <v>65.5</v>
          </cell>
          <cell r="J188">
            <v>15.5</v>
          </cell>
          <cell r="K188">
            <v>65.5</v>
          </cell>
          <cell r="L188">
            <v>422.5</v>
          </cell>
          <cell r="M188">
            <v>300</v>
          </cell>
        </row>
        <row r="189">
          <cell r="B189" t="str">
            <v>July</v>
          </cell>
        </row>
        <row r="189">
          <cell r="D189" t="str">
            <v>Q3</v>
          </cell>
        </row>
        <row r="189">
          <cell r="F189" t="str">
            <v>Tuesday</v>
          </cell>
          <cell r="G189">
            <v>70.5</v>
          </cell>
          <cell r="H189">
            <v>230.5</v>
          </cell>
          <cell r="I189">
            <v>110.5</v>
          </cell>
          <cell r="J189">
            <v>0</v>
          </cell>
          <cell r="K189">
            <v>30.5</v>
          </cell>
          <cell r="L189">
            <v>442</v>
          </cell>
          <cell r="M189">
            <v>300</v>
          </cell>
        </row>
        <row r="190">
          <cell r="B190" t="str">
            <v>July</v>
          </cell>
        </row>
        <row r="190">
          <cell r="D190" t="str">
            <v>Q3</v>
          </cell>
        </row>
        <row r="190">
          <cell r="F190" t="str">
            <v>Wednesday</v>
          </cell>
          <cell r="G190">
            <v>65.5</v>
          </cell>
          <cell r="H190">
            <v>165.5</v>
          </cell>
          <cell r="I190">
            <v>100.5</v>
          </cell>
          <cell r="J190">
            <v>10.5</v>
          </cell>
          <cell r="K190">
            <v>100.5</v>
          </cell>
          <cell r="L190">
            <v>442.5</v>
          </cell>
          <cell r="M190">
            <v>300</v>
          </cell>
        </row>
        <row r="191">
          <cell r="B191" t="str">
            <v>July</v>
          </cell>
        </row>
        <row r="191">
          <cell r="D191" t="str">
            <v>Q3</v>
          </cell>
        </row>
        <row r="191">
          <cell r="F191" t="str">
            <v>Thursday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300</v>
          </cell>
        </row>
        <row r="192">
          <cell r="B192" t="str">
            <v>July</v>
          </cell>
        </row>
        <row r="192">
          <cell r="D192" t="str">
            <v>Q3</v>
          </cell>
        </row>
        <row r="192">
          <cell r="F192" t="str">
            <v>Friday</v>
          </cell>
          <cell r="G192">
            <v>70.5</v>
          </cell>
          <cell r="H192">
            <v>300.5</v>
          </cell>
          <cell r="I192">
            <v>150.5</v>
          </cell>
          <cell r="J192">
            <v>0</v>
          </cell>
          <cell r="K192">
            <v>0</v>
          </cell>
          <cell r="L192">
            <v>521.5</v>
          </cell>
          <cell r="M192">
            <v>300</v>
          </cell>
        </row>
        <row r="193">
          <cell r="B193" t="str">
            <v>July</v>
          </cell>
        </row>
        <row r="193">
          <cell r="D193" t="str">
            <v>Q3</v>
          </cell>
        </row>
        <row r="193">
          <cell r="F193" t="str">
            <v>Saturday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300</v>
          </cell>
        </row>
        <row r="194">
          <cell r="B194" t="str">
            <v>July</v>
          </cell>
        </row>
        <row r="194">
          <cell r="D194" t="str">
            <v>Q3</v>
          </cell>
        </row>
        <row r="194">
          <cell r="F194" t="str">
            <v>Sunday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300</v>
          </cell>
        </row>
        <row r="195">
          <cell r="B195" t="str">
            <v>July</v>
          </cell>
        </row>
        <row r="195">
          <cell r="D195" t="str">
            <v>Q3</v>
          </cell>
        </row>
        <row r="195">
          <cell r="F195" t="str">
            <v>Monday</v>
          </cell>
          <cell r="G195">
            <v>75.5</v>
          </cell>
          <cell r="H195">
            <v>195.5</v>
          </cell>
          <cell r="I195">
            <v>105.5</v>
          </cell>
          <cell r="J195">
            <v>25.5</v>
          </cell>
          <cell r="K195">
            <v>0</v>
          </cell>
          <cell r="L195">
            <v>402</v>
          </cell>
          <cell r="M195">
            <v>300</v>
          </cell>
        </row>
        <row r="196">
          <cell r="B196" t="str">
            <v>July</v>
          </cell>
        </row>
        <row r="196">
          <cell r="D196" t="str">
            <v>Q3</v>
          </cell>
        </row>
        <row r="196">
          <cell r="F196" t="str">
            <v>Tuesday</v>
          </cell>
          <cell r="G196">
            <v>90.5</v>
          </cell>
          <cell r="H196">
            <v>185.5</v>
          </cell>
          <cell r="I196">
            <v>65.5</v>
          </cell>
          <cell r="J196">
            <v>15.5</v>
          </cell>
          <cell r="K196">
            <v>0</v>
          </cell>
          <cell r="L196">
            <v>357</v>
          </cell>
          <cell r="M196">
            <v>300</v>
          </cell>
        </row>
        <row r="197">
          <cell r="B197" t="str">
            <v>July</v>
          </cell>
        </row>
        <row r="197">
          <cell r="D197" t="str">
            <v>Q3</v>
          </cell>
        </row>
        <row r="197">
          <cell r="F197" t="str">
            <v>Wednesday</v>
          </cell>
          <cell r="G197">
            <v>85.5</v>
          </cell>
          <cell r="H197">
            <v>235.5</v>
          </cell>
          <cell r="I197">
            <v>130.5</v>
          </cell>
          <cell r="J197">
            <v>0</v>
          </cell>
          <cell r="K197">
            <v>30.5</v>
          </cell>
          <cell r="L197">
            <v>482</v>
          </cell>
          <cell r="M197">
            <v>300</v>
          </cell>
        </row>
        <row r="198">
          <cell r="B198" t="str">
            <v>July</v>
          </cell>
        </row>
        <row r="198">
          <cell r="D198" t="str">
            <v>Q3</v>
          </cell>
        </row>
        <row r="198">
          <cell r="F198" t="str">
            <v>Thursday</v>
          </cell>
          <cell r="G198">
            <v>75.5</v>
          </cell>
          <cell r="H198">
            <v>150.5</v>
          </cell>
          <cell r="I198">
            <v>65.5</v>
          </cell>
          <cell r="J198">
            <v>0</v>
          </cell>
          <cell r="K198">
            <v>65.5</v>
          </cell>
          <cell r="L198">
            <v>357</v>
          </cell>
          <cell r="M198">
            <v>300</v>
          </cell>
        </row>
        <row r="199">
          <cell r="B199" t="str">
            <v>July</v>
          </cell>
        </row>
        <row r="199">
          <cell r="D199" t="str">
            <v>Q3</v>
          </cell>
        </row>
        <row r="199">
          <cell r="F199" t="str">
            <v>Friday</v>
          </cell>
          <cell r="G199">
            <v>95.5</v>
          </cell>
          <cell r="H199">
            <v>230.5</v>
          </cell>
          <cell r="I199">
            <v>0</v>
          </cell>
          <cell r="J199">
            <v>25.5</v>
          </cell>
          <cell r="K199">
            <v>30.5</v>
          </cell>
          <cell r="L199">
            <v>382</v>
          </cell>
          <cell r="M199">
            <v>300</v>
          </cell>
        </row>
        <row r="200">
          <cell r="B200" t="str">
            <v>July</v>
          </cell>
        </row>
        <row r="200">
          <cell r="D200" t="str">
            <v>Q3</v>
          </cell>
        </row>
        <row r="200">
          <cell r="F200" t="str">
            <v>Saturday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300</v>
          </cell>
        </row>
        <row r="201">
          <cell r="B201" t="str">
            <v>July</v>
          </cell>
        </row>
        <row r="201">
          <cell r="D201" t="str">
            <v>Q3</v>
          </cell>
        </row>
        <row r="201">
          <cell r="F201" t="str">
            <v>Sunday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300</v>
          </cell>
        </row>
        <row r="202">
          <cell r="B202" t="str">
            <v>July</v>
          </cell>
        </row>
        <row r="202">
          <cell r="D202" t="str">
            <v>Q3</v>
          </cell>
        </row>
        <row r="202">
          <cell r="F202" t="str">
            <v>Monday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300</v>
          </cell>
        </row>
        <row r="203">
          <cell r="B203" t="str">
            <v>July</v>
          </cell>
        </row>
        <row r="203">
          <cell r="D203" t="str">
            <v>Q3</v>
          </cell>
        </row>
        <row r="203">
          <cell r="F203" t="str">
            <v>Tuesday</v>
          </cell>
          <cell r="G203">
            <v>34.5</v>
          </cell>
          <cell r="H203">
            <v>80.5</v>
          </cell>
          <cell r="I203">
            <v>0</v>
          </cell>
          <cell r="J203">
            <v>0</v>
          </cell>
          <cell r="K203">
            <v>200.5</v>
          </cell>
          <cell r="L203">
            <v>315.5</v>
          </cell>
          <cell r="M203">
            <v>300</v>
          </cell>
        </row>
        <row r="204">
          <cell r="B204" t="str">
            <v>July</v>
          </cell>
        </row>
        <row r="204">
          <cell r="D204" t="str">
            <v>Q3</v>
          </cell>
        </row>
        <row r="204">
          <cell r="F204" t="str">
            <v>Wednesday</v>
          </cell>
          <cell r="G204">
            <v>80.5</v>
          </cell>
          <cell r="H204">
            <v>205.5</v>
          </cell>
          <cell r="I204">
            <v>80.5</v>
          </cell>
          <cell r="J204">
            <v>25.5</v>
          </cell>
          <cell r="K204">
            <v>0</v>
          </cell>
          <cell r="L204">
            <v>392</v>
          </cell>
          <cell r="M204">
            <v>300</v>
          </cell>
        </row>
        <row r="205">
          <cell r="B205" t="str">
            <v>July</v>
          </cell>
        </row>
        <row r="205">
          <cell r="D205" t="str">
            <v>Q3</v>
          </cell>
        </row>
        <row r="205">
          <cell r="F205" t="str">
            <v>Thursday</v>
          </cell>
          <cell r="G205">
            <v>45.5</v>
          </cell>
          <cell r="H205">
            <v>145.5</v>
          </cell>
          <cell r="I205">
            <v>75.5</v>
          </cell>
          <cell r="J205">
            <v>10.5</v>
          </cell>
          <cell r="K205">
            <v>30.5</v>
          </cell>
          <cell r="L205">
            <v>307.5</v>
          </cell>
          <cell r="M205">
            <v>300</v>
          </cell>
        </row>
        <row r="206">
          <cell r="B206" t="str">
            <v>July</v>
          </cell>
        </row>
        <row r="206">
          <cell r="D206" t="str">
            <v>Q3</v>
          </cell>
        </row>
        <row r="206">
          <cell r="F206" t="str">
            <v>Friday</v>
          </cell>
          <cell r="G206">
            <v>0</v>
          </cell>
          <cell r="H206">
            <v>160.5</v>
          </cell>
          <cell r="I206">
            <v>100.5</v>
          </cell>
          <cell r="J206">
            <v>0</v>
          </cell>
          <cell r="K206">
            <v>0</v>
          </cell>
          <cell r="L206">
            <v>261</v>
          </cell>
          <cell r="M206">
            <v>300</v>
          </cell>
        </row>
        <row r="207">
          <cell r="B207" t="str">
            <v>July</v>
          </cell>
        </row>
        <row r="207">
          <cell r="D207" t="str">
            <v>Q3</v>
          </cell>
        </row>
        <row r="207">
          <cell r="F207" t="str">
            <v>Saturday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300</v>
          </cell>
        </row>
        <row r="208">
          <cell r="B208" t="str">
            <v>July</v>
          </cell>
        </row>
        <row r="208">
          <cell r="D208" t="str">
            <v>Q3</v>
          </cell>
        </row>
        <row r="208">
          <cell r="F208" t="str">
            <v>Sunday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300</v>
          </cell>
        </row>
        <row r="209">
          <cell r="B209" t="str">
            <v>July</v>
          </cell>
        </row>
        <row r="209">
          <cell r="D209" t="str">
            <v>Q3</v>
          </cell>
        </row>
        <row r="209">
          <cell r="F209" t="str">
            <v>Monday</v>
          </cell>
          <cell r="G209">
            <v>55.5</v>
          </cell>
          <cell r="H209">
            <v>145.5</v>
          </cell>
          <cell r="I209">
            <v>0</v>
          </cell>
          <cell r="J209">
            <v>15.5</v>
          </cell>
          <cell r="K209">
            <v>100.5</v>
          </cell>
          <cell r="L209">
            <v>317</v>
          </cell>
          <cell r="M209">
            <v>300</v>
          </cell>
        </row>
        <row r="210">
          <cell r="B210" t="str">
            <v>July</v>
          </cell>
        </row>
        <row r="210">
          <cell r="D210" t="str">
            <v>Q3</v>
          </cell>
        </row>
        <row r="210">
          <cell r="F210" t="str">
            <v>Tuesday</v>
          </cell>
          <cell r="G210">
            <v>40.5</v>
          </cell>
          <cell r="H210">
            <v>0</v>
          </cell>
          <cell r="I210">
            <v>0</v>
          </cell>
          <cell r="J210">
            <v>0</v>
          </cell>
          <cell r="K210">
            <v>100.5</v>
          </cell>
          <cell r="L210">
            <v>141</v>
          </cell>
          <cell r="M210">
            <v>300</v>
          </cell>
        </row>
        <row r="211">
          <cell r="B211" t="str">
            <v>July</v>
          </cell>
        </row>
        <row r="211">
          <cell r="D211" t="str">
            <v>Q3</v>
          </cell>
        </row>
        <row r="211">
          <cell r="F211" t="str">
            <v>Wednesday</v>
          </cell>
          <cell r="G211">
            <v>50.5</v>
          </cell>
          <cell r="H211">
            <v>200.5</v>
          </cell>
          <cell r="I211">
            <v>85.5</v>
          </cell>
          <cell r="J211">
            <v>10.5</v>
          </cell>
          <cell r="K211">
            <v>0</v>
          </cell>
          <cell r="L211">
            <v>347</v>
          </cell>
          <cell r="M211">
            <v>300</v>
          </cell>
        </row>
        <row r="212">
          <cell r="B212" t="str">
            <v>July</v>
          </cell>
        </row>
        <row r="212">
          <cell r="D212" t="str">
            <v>Q3</v>
          </cell>
        </row>
        <row r="212">
          <cell r="F212" t="str">
            <v>Thursday</v>
          </cell>
          <cell r="G212">
            <v>70.5</v>
          </cell>
          <cell r="H212">
            <v>250.5</v>
          </cell>
          <cell r="I212">
            <v>100.5</v>
          </cell>
          <cell r="J212">
            <v>0</v>
          </cell>
          <cell r="K212">
            <v>0</v>
          </cell>
          <cell r="L212">
            <v>421.5</v>
          </cell>
          <cell r="M212">
            <v>300</v>
          </cell>
        </row>
        <row r="213">
          <cell r="B213" t="str">
            <v>July</v>
          </cell>
        </row>
        <row r="213">
          <cell r="D213" t="str">
            <v>Q3</v>
          </cell>
        </row>
        <row r="213">
          <cell r="F213" t="str">
            <v>Friday</v>
          </cell>
          <cell r="G213">
            <v>120.5</v>
          </cell>
          <cell r="H213">
            <v>180.5</v>
          </cell>
          <cell r="I213">
            <v>155.5</v>
          </cell>
          <cell r="J213">
            <v>10.5</v>
          </cell>
          <cell r="K213">
            <v>30.5</v>
          </cell>
          <cell r="L213">
            <v>497.5</v>
          </cell>
          <cell r="M213">
            <v>300</v>
          </cell>
        </row>
        <row r="214">
          <cell r="B214" t="str">
            <v>August</v>
          </cell>
        </row>
        <row r="214">
          <cell r="D214" t="str">
            <v>Q3</v>
          </cell>
        </row>
        <row r="214">
          <cell r="F214" t="str">
            <v>Saturday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300</v>
          </cell>
        </row>
        <row r="215">
          <cell r="B215" t="str">
            <v>August</v>
          </cell>
        </row>
        <row r="215">
          <cell r="D215" t="str">
            <v>Q3</v>
          </cell>
        </row>
        <row r="215">
          <cell r="F215" t="str">
            <v>Sunday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300</v>
          </cell>
        </row>
        <row r="216">
          <cell r="B216" t="str">
            <v>August</v>
          </cell>
        </row>
        <row r="216">
          <cell r="D216" t="str">
            <v>Q3</v>
          </cell>
        </row>
        <row r="216">
          <cell r="F216" t="str">
            <v>Monday</v>
          </cell>
          <cell r="G216">
            <v>105.5</v>
          </cell>
          <cell r="H216">
            <v>190.5</v>
          </cell>
          <cell r="I216">
            <v>120.5</v>
          </cell>
          <cell r="J216">
            <v>0</v>
          </cell>
          <cell r="K216">
            <v>45.5</v>
          </cell>
          <cell r="L216">
            <v>462</v>
          </cell>
          <cell r="M216">
            <v>300</v>
          </cell>
        </row>
        <row r="217">
          <cell r="B217" t="str">
            <v>August</v>
          </cell>
        </row>
        <row r="217">
          <cell r="D217" t="str">
            <v>Q3</v>
          </cell>
        </row>
        <row r="217">
          <cell r="F217" t="str">
            <v>Tuesday</v>
          </cell>
          <cell r="G217">
            <v>50.5</v>
          </cell>
          <cell r="H217">
            <v>60.5</v>
          </cell>
          <cell r="I217">
            <v>0</v>
          </cell>
          <cell r="J217">
            <v>0</v>
          </cell>
          <cell r="K217">
            <v>90.5</v>
          </cell>
          <cell r="L217">
            <v>201.5</v>
          </cell>
          <cell r="M217">
            <v>300</v>
          </cell>
        </row>
        <row r="218">
          <cell r="B218" t="str">
            <v>August</v>
          </cell>
        </row>
        <row r="218">
          <cell r="D218" t="str">
            <v>Q3</v>
          </cell>
        </row>
        <row r="218">
          <cell r="F218" t="str">
            <v>Wednesday</v>
          </cell>
          <cell r="G218">
            <v>55.5</v>
          </cell>
          <cell r="H218">
            <v>215.5</v>
          </cell>
          <cell r="I218">
            <v>60.5</v>
          </cell>
          <cell r="J218">
            <v>25.5</v>
          </cell>
          <cell r="K218">
            <v>0</v>
          </cell>
          <cell r="L218">
            <v>357</v>
          </cell>
          <cell r="M218">
            <v>300</v>
          </cell>
        </row>
        <row r="219">
          <cell r="B219" t="str">
            <v>August</v>
          </cell>
        </row>
        <row r="219">
          <cell r="D219" t="str">
            <v>Q3</v>
          </cell>
        </row>
        <row r="219">
          <cell r="F219" t="str">
            <v>Thursday</v>
          </cell>
          <cell r="G219">
            <v>65.5</v>
          </cell>
          <cell r="H219">
            <v>0</v>
          </cell>
          <cell r="I219">
            <v>115.5</v>
          </cell>
          <cell r="J219">
            <v>15.5</v>
          </cell>
          <cell r="K219">
            <v>80.5</v>
          </cell>
          <cell r="L219">
            <v>277</v>
          </cell>
          <cell r="M219">
            <v>300</v>
          </cell>
        </row>
        <row r="220">
          <cell r="B220" t="str">
            <v>August</v>
          </cell>
        </row>
        <row r="220">
          <cell r="D220" t="str">
            <v>Q3</v>
          </cell>
        </row>
        <row r="220">
          <cell r="F220" t="str">
            <v>Friday</v>
          </cell>
          <cell r="G220">
            <v>95.5</v>
          </cell>
          <cell r="H220">
            <v>190.5</v>
          </cell>
          <cell r="I220">
            <v>155.5</v>
          </cell>
          <cell r="J220">
            <v>10.5</v>
          </cell>
          <cell r="K220">
            <v>50.5</v>
          </cell>
          <cell r="L220">
            <v>502.5</v>
          </cell>
          <cell r="M220">
            <v>300</v>
          </cell>
        </row>
        <row r="221">
          <cell r="B221" t="str">
            <v>August</v>
          </cell>
        </row>
        <row r="221">
          <cell r="D221" t="str">
            <v>Q3</v>
          </cell>
        </row>
        <row r="221">
          <cell r="F221" t="str">
            <v>Saturday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300</v>
          </cell>
        </row>
        <row r="222">
          <cell r="B222" t="str">
            <v>August</v>
          </cell>
        </row>
        <row r="222">
          <cell r="D222" t="str">
            <v>Q3</v>
          </cell>
        </row>
        <row r="222">
          <cell r="F222" t="str">
            <v>Sunday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300</v>
          </cell>
        </row>
        <row r="223">
          <cell r="B223" t="str">
            <v>August</v>
          </cell>
        </row>
        <row r="223">
          <cell r="D223" t="str">
            <v>Q3</v>
          </cell>
        </row>
        <row r="223">
          <cell r="F223" t="str">
            <v>Monday</v>
          </cell>
          <cell r="G223">
            <v>90.5</v>
          </cell>
          <cell r="H223">
            <v>0</v>
          </cell>
          <cell r="I223">
            <v>0</v>
          </cell>
          <cell r="J223">
            <v>0</v>
          </cell>
          <cell r="K223">
            <v>56.5</v>
          </cell>
          <cell r="L223">
            <v>147</v>
          </cell>
          <cell r="M223">
            <v>300</v>
          </cell>
        </row>
        <row r="224">
          <cell r="B224" t="str">
            <v>August</v>
          </cell>
        </row>
        <row r="224">
          <cell r="D224" t="str">
            <v>Q3</v>
          </cell>
        </row>
        <row r="224">
          <cell r="F224" t="str">
            <v>Tuesday</v>
          </cell>
          <cell r="G224">
            <v>100.5</v>
          </cell>
          <cell r="H224">
            <v>250.5</v>
          </cell>
          <cell r="I224">
            <v>125.5</v>
          </cell>
          <cell r="J224">
            <v>10.5</v>
          </cell>
          <cell r="K224">
            <v>0</v>
          </cell>
          <cell r="L224">
            <v>487</v>
          </cell>
          <cell r="M224">
            <v>300</v>
          </cell>
        </row>
        <row r="225">
          <cell r="B225" t="str">
            <v>August</v>
          </cell>
        </row>
        <row r="225">
          <cell r="D225" t="str">
            <v>Q3</v>
          </cell>
        </row>
        <row r="225">
          <cell r="F225" t="str">
            <v>Wednesday</v>
          </cell>
          <cell r="G225">
            <v>70.5</v>
          </cell>
          <cell r="H225">
            <v>225.5</v>
          </cell>
          <cell r="I225">
            <v>90.5</v>
          </cell>
          <cell r="J225">
            <v>0</v>
          </cell>
          <cell r="K225">
            <v>0</v>
          </cell>
          <cell r="L225">
            <v>386.5</v>
          </cell>
          <cell r="M225">
            <v>300</v>
          </cell>
        </row>
        <row r="226">
          <cell r="B226" t="str">
            <v>August</v>
          </cell>
        </row>
        <row r="226">
          <cell r="D226" t="str">
            <v>Q3</v>
          </cell>
        </row>
        <row r="226">
          <cell r="F226" t="str">
            <v>Thursday</v>
          </cell>
          <cell r="G226">
            <v>75.5</v>
          </cell>
          <cell r="H226">
            <v>125.5</v>
          </cell>
          <cell r="I226">
            <v>110.5</v>
          </cell>
          <cell r="J226">
            <v>0</v>
          </cell>
          <cell r="K226">
            <v>80.5</v>
          </cell>
          <cell r="L226">
            <v>392</v>
          </cell>
          <cell r="M226">
            <v>300</v>
          </cell>
        </row>
        <row r="227">
          <cell r="B227" t="str">
            <v>August</v>
          </cell>
        </row>
        <row r="227">
          <cell r="D227" t="str">
            <v>Q3</v>
          </cell>
        </row>
        <row r="227">
          <cell r="F227" t="str">
            <v>Friday</v>
          </cell>
          <cell r="G227">
            <v>65.5</v>
          </cell>
          <cell r="H227">
            <v>0</v>
          </cell>
          <cell r="I227">
            <v>120.5</v>
          </cell>
          <cell r="J227">
            <v>0</v>
          </cell>
          <cell r="K227">
            <v>0</v>
          </cell>
          <cell r="L227">
            <v>186</v>
          </cell>
          <cell r="M227">
            <v>300</v>
          </cell>
        </row>
        <row r="228">
          <cell r="B228" t="str">
            <v>August</v>
          </cell>
        </row>
        <row r="228">
          <cell r="D228" t="str">
            <v>Q3</v>
          </cell>
        </row>
        <row r="228">
          <cell r="F228" t="str">
            <v>Saturday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300</v>
          </cell>
        </row>
        <row r="229">
          <cell r="B229" t="str">
            <v>August</v>
          </cell>
        </row>
        <row r="229">
          <cell r="D229" t="str">
            <v>Q3</v>
          </cell>
        </row>
        <row r="229">
          <cell r="F229" t="str">
            <v>Sunday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300</v>
          </cell>
        </row>
        <row r="230">
          <cell r="B230" t="str">
            <v>August</v>
          </cell>
        </row>
        <row r="230">
          <cell r="D230" t="str">
            <v>Q3</v>
          </cell>
        </row>
        <row r="230">
          <cell r="F230" t="str">
            <v>Monday</v>
          </cell>
          <cell r="G230">
            <v>95.5</v>
          </cell>
          <cell r="H230">
            <v>130.5</v>
          </cell>
          <cell r="I230">
            <v>95.5</v>
          </cell>
          <cell r="J230">
            <v>0</v>
          </cell>
          <cell r="K230">
            <v>65.5</v>
          </cell>
          <cell r="L230">
            <v>387</v>
          </cell>
          <cell r="M230">
            <v>300</v>
          </cell>
        </row>
        <row r="231">
          <cell r="B231" t="str">
            <v>August</v>
          </cell>
        </row>
        <row r="231">
          <cell r="D231" t="str">
            <v>Q3</v>
          </cell>
        </row>
        <row r="231">
          <cell r="F231" t="str">
            <v>Tuesday</v>
          </cell>
          <cell r="G231">
            <v>0</v>
          </cell>
          <cell r="H231">
            <v>185.5</v>
          </cell>
          <cell r="I231">
            <v>90.5</v>
          </cell>
          <cell r="J231">
            <v>25.5</v>
          </cell>
          <cell r="K231">
            <v>30.5</v>
          </cell>
          <cell r="L231">
            <v>332</v>
          </cell>
          <cell r="M231">
            <v>300</v>
          </cell>
        </row>
        <row r="232">
          <cell r="B232" t="str">
            <v>August</v>
          </cell>
        </row>
        <row r="232">
          <cell r="D232" t="str">
            <v>Q3</v>
          </cell>
        </row>
        <row r="232">
          <cell r="F232" t="str">
            <v>Wednesday</v>
          </cell>
          <cell r="G232">
            <v>60.5</v>
          </cell>
          <cell r="H232">
            <v>0</v>
          </cell>
          <cell r="I232">
            <v>110.5</v>
          </cell>
          <cell r="J232">
            <v>15.5</v>
          </cell>
          <cell r="K232">
            <v>65.5</v>
          </cell>
          <cell r="L232">
            <v>252</v>
          </cell>
          <cell r="M232">
            <v>300</v>
          </cell>
        </row>
        <row r="233">
          <cell r="B233" t="str">
            <v>August</v>
          </cell>
        </row>
        <row r="233">
          <cell r="D233" t="str">
            <v>Q3</v>
          </cell>
        </row>
        <row r="233">
          <cell r="F233" t="str">
            <v>Thursday</v>
          </cell>
          <cell r="G233">
            <v>50.5</v>
          </cell>
          <cell r="H233">
            <v>0</v>
          </cell>
          <cell r="I233">
            <v>60.5</v>
          </cell>
          <cell r="J233">
            <v>25.5</v>
          </cell>
          <cell r="K233">
            <v>0</v>
          </cell>
          <cell r="L233">
            <v>136.5</v>
          </cell>
          <cell r="M233">
            <v>300</v>
          </cell>
        </row>
        <row r="234">
          <cell r="B234" t="str">
            <v>August</v>
          </cell>
        </row>
        <row r="234">
          <cell r="D234" t="str">
            <v>Q3</v>
          </cell>
        </row>
        <row r="234">
          <cell r="F234" t="str">
            <v>Friday</v>
          </cell>
          <cell r="G234">
            <v>90.5</v>
          </cell>
          <cell r="H234">
            <v>67.5</v>
          </cell>
          <cell r="I234">
            <v>0</v>
          </cell>
          <cell r="J234">
            <v>0</v>
          </cell>
          <cell r="K234">
            <v>45.5</v>
          </cell>
          <cell r="L234">
            <v>203.5</v>
          </cell>
          <cell r="M234">
            <v>300</v>
          </cell>
        </row>
        <row r="235">
          <cell r="B235" t="str">
            <v>August</v>
          </cell>
        </row>
        <row r="235">
          <cell r="D235" t="str">
            <v>Q3</v>
          </cell>
        </row>
        <row r="235">
          <cell r="F235" t="str">
            <v>Saturday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300</v>
          </cell>
        </row>
        <row r="236">
          <cell r="B236" t="str">
            <v>August</v>
          </cell>
        </row>
        <row r="236">
          <cell r="D236" t="str">
            <v>Q3</v>
          </cell>
        </row>
        <row r="236">
          <cell r="F236" t="str">
            <v>Sunday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300</v>
          </cell>
        </row>
        <row r="237">
          <cell r="B237" t="str">
            <v>August</v>
          </cell>
        </row>
        <row r="237">
          <cell r="D237" t="str">
            <v>Q3</v>
          </cell>
        </row>
        <row r="237">
          <cell r="F237" t="str">
            <v>Monday</v>
          </cell>
          <cell r="G237">
            <v>55.5</v>
          </cell>
          <cell r="H237">
            <v>135.5</v>
          </cell>
          <cell r="I237">
            <v>65.5</v>
          </cell>
          <cell r="J237">
            <v>25.5</v>
          </cell>
          <cell r="K237">
            <v>65.5</v>
          </cell>
          <cell r="L237">
            <v>347.5</v>
          </cell>
          <cell r="M237">
            <v>300</v>
          </cell>
        </row>
        <row r="238">
          <cell r="B238" t="str">
            <v>August</v>
          </cell>
        </row>
        <row r="238">
          <cell r="D238" t="str">
            <v>Q3</v>
          </cell>
        </row>
        <row r="238">
          <cell r="F238" t="str">
            <v>Tuesday</v>
          </cell>
          <cell r="G238">
            <v>0</v>
          </cell>
          <cell r="H238">
            <v>160.5</v>
          </cell>
          <cell r="I238">
            <v>70.5</v>
          </cell>
          <cell r="J238">
            <v>20.5</v>
          </cell>
          <cell r="K238">
            <v>0</v>
          </cell>
          <cell r="L238">
            <v>251.5</v>
          </cell>
          <cell r="M238">
            <v>300</v>
          </cell>
        </row>
        <row r="239">
          <cell r="B239" t="str">
            <v>August</v>
          </cell>
        </row>
        <row r="239">
          <cell r="D239" t="str">
            <v>Q3</v>
          </cell>
        </row>
        <row r="239">
          <cell r="F239" t="str">
            <v>Wednesday</v>
          </cell>
          <cell r="G239">
            <v>80.5</v>
          </cell>
          <cell r="H239">
            <v>170.5</v>
          </cell>
          <cell r="I239">
            <v>115.5</v>
          </cell>
          <cell r="J239">
            <v>0</v>
          </cell>
          <cell r="K239">
            <v>0</v>
          </cell>
          <cell r="L239">
            <v>366.5</v>
          </cell>
          <cell r="M239">
            <v>300</v>
          </cell>
        </row>
        <row r="240">
          <cell r="B240" t="str">
            <v>August</v>
          </cell>
        </row>
        <row r="240">
          <cell r="D240" t="str">
            <v>Q3</v>
          </cell>
        </row>
        <row r="240">
          <cell r="F240" t="str">
            <v>Thursday</v>
          </cell>
          <cell r="G240">
            <v>70.5</v>
          </cell>
          <cell r="H240">
            <v>90.5</v>
          </cell>
          <cell r="I240">
            <v>0</v>
          </cell>
          <cell r="J240">
            <v>0</v>
          </cell>
          <cell r="K240">
            <v>80.5</v>
          </cell>
          <cell r="L240">
            <v>241.5</v>
          </cell>
          <cell r="M240">
            <v>300</v>
          </cell>
        </row>
        <row r="241">
          <cell r="B241" t="str">
            <v>August</v>
          </cell>
        </row>
        <row r="241">
          <cell r="D241" t="str">
            <v>Q3</v>
          </cell>
        </row>
        <row r="241">
          <cell r="F241" t="str">
            <v>Friday</v>
          </cell>
          <cell r="G241">
            <v>65.5</v>
          </cell>
          <cell r="H241">
            <v>0</v>
          </cell>
          <cell r="I241">
            <v>140.5</v>
          </cell>
          <cell r="J241">
            <v>0</v>
          </cell>
          <cell r="K241">
            <v>78.5</v>
          </cell>
          <cell r="L241">
            <v>284.5</v>
          </cell>
          <cell r="M241">
            <v>300</v>
          </cell>
        </row>
        <row r="242">
          <cell r="B242" t="str">
            <v>August</v>
          </cell>
        </row>
        <row r="242">
          <cell r="D242" t="str">
            <v>Q3</v>
          </cell>
        </row>
        <row r="242">
          <cell r="F242" t="str">
            <v>Saturday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300</v>
          </cell>
        </row>
        <row r="243">
          <cell r="B243" t="str">
            <v>August</v>
          </cell>
        </row>
        <row r="243">
          <cell r="D243" t="str">
            <v>Q3</v>
          </cell>
        </row>
        <row r="243">
          <cell r="F243" t="str">
            <v>Sunday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300</v>
          </cell>
        </row>
        <row r="244">
          <cell r="B244" t="str">
            <v>August</v>
          </cell>
        </row>
        <row r="244">
          <cell r="D244" t="str">
            <v>Q3</v>
          </cell>
        </row>
        <row r="244">
          <cell r="F244" t="str">
            <v>Monday</v>
          </cell>
          <cell r="G244">
            <v>90.5</v>
          </cell>
          <cell r="H244">
            <v>250.5</v>
          </cell>
          <cell r="I244">
            <v>95.5</v>
          </cell>
          <cell r="J244">
            <v>0</v>
          </cell>
          <cell r="K244">
            <v>80.5</v>
          </cell>
          <cell r="L244">
            <v>517</v>
          </cell>
          <cell r="M244">
            <v>300</v>
          </cell>
        </row>
        <row r="245">
          <cell r="B245" t="str">
            <v>September</v>
          </cell>
        </row>
        <row r="245">
          <cell r="D245" t="str">
            <v>Q3</v>
          </cell>
        </row>
        <row r="245">
          <cell r="F245" t="str">
            <v>Tuesday</v>
          </cell>
          <cell r="G245">
            <v>80.5</v>
          </cell>
          <cell r="H245">
            <v>230.5</v>
          </cell>
          <cell r="I245">
            <v>80.5</v>
          </cell>
          <cell r="J245">
            <v>0</v>
          </cell>
          <cell r="K245">
            <v>80.5</v>
          </cell>
          <cell r="L245">
            <v>472</v>
          </cell>
          <cell r="M245">
            <v>300</v>
          </cell>
        </row>
        <row r="246">
          <cell r="B246" t="str">
            <v>September</v>
          </cell>
        </row>
        <row r="246">
          <cell r="D246" t="str">
            <v>Q3</v>
          </cell>
        </row>
        <row r="246">
          <cell r="F246" t="str">
            <v>Wednesday</v>
          </cell>
          <cell r="G246">
            <v>55.5</v>
          </cell>
          <cell r="H246">
            <v>215.5</v>
          </cell>
          <cell r="I246">
            <v>100.5</v>
          </cell>
          <cell r="J246">
            <v>0</v>
          </cell>
          <cell r="K246">
            <v>60.5</v>
          </cell>
          <cell r="L246">
            <v>432</v>
          </cell>
          <cell r="M246">
            <v>300</v>
          </cell>
        </row>
        <row r="247">
          <cell r="B247" t="str">
            <v>September</v>
          </cell>
        </row>
        <row r="247">
          <cell r="D247" t="str">
            <v>Q3</v>
          </cell>
        </row>
        <row r="247">
          <cell r="F247" t="str">
            <v>Thursday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300</v>
          </cell>
        </row>
        <row r="248">
          <cell r="B248" t="str">
            <v>September</v>
          </cell>
        </row>
        <row r="248">
          <cell r="D248" t="str">
            <v>Q3</v>
          </cell>
        </row>
        <row r="248">
          <cell r="F248" t="str">
            <v>Friday</v>
          </cell>
          <cell r="G248">
            <v>0</v>
          </cell>
          <cell r="H248">
            <v>190.5</v>
          </cell>
          <cell r="I248">
            <v>80.5</v>
          </cell>
          <cell r="J248">
            <v>0</v>
          </cell>
          <cell r="K248">
            <v>60.5</v>
          </cell>
          <cell r="L248">
            <v>331.5</v>
          </cell>
          <cell r="M248">
            <v>300</v>
          </cell>
        </row>
        <row r="249">
          <cell r="B249" t="str">
            <v>September</v>
          </cell>
        </row>
        <row r="249">
          <cell r="D249" t="str">
            <v>Q3</v>
          </cell>
        </row>
        <row r="249">
          <cell r="F249" t="str">
            <v>Saturday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300</v>
          </cell>
        </row>
        <row r="250">
          <cell r="B250" t="str">
            <v>September</v>
          </cell>
        </row>
        <row r="250">
          <cell r="D250" t="str">
            <v>Q3</v>
          </cell>
        </row>
        <row r="250">
          <cell r="F250" t="str">
            <v>Sunday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300</v>
          </cell>
        </row>
        <row r="251">
          <cell r="B251" t="str">
            <v>September</v>
          </cell>
        </row>
        <row r="251">
          <cell r="D251" t="str">
            <v>Q3</v>
          </cell>
        </row>
        <row r="251">
          <cell r="F251" t="str">
            <v>Monday</v>
          </cell>
          <cell r="G251">
            <v>95.5</v>
          </cell>
          <cell r="H251">
            <v>170.5</v>
          </cell>
          <cell r="I251">
            <v>80.5</v>
          </cell>
          <cell r="J251">
            <v>0</v>
          </cell>
          <cell r="K251">
            <v>0</v>
          </cell>
          <cell r="L251">
            <v>346.5</v>
          </cell>
          <cell r="M251">
            <v>300</v>
          </cell>
        </row>
        <row r="252">
          <cell r="B252" t="str">
            <v>September</v>
          </cell>
        </row>
        <row r="252">
          <cell r="D252" t="str">
            <v>Q3</v>
          </cell>
        </row>
        <row r="252">
          <cell r="F252" t="str">
            <v>Tuesday</v>
          </cell>
          <cell r="G252">
            <v>100.5</v>
          </cell>
          <cell r="H252">
            <v>180.5</v>
          </cell>
          <cell r="I252">
            <v>95.5</v>
          </cell>
          <cell r="J252">
            <v>0</v>
          </cell>
          <cell r="K252">
            <v>50.5</v>
          </cell>
          <cell r="L252">
            <v>427</v>
          </cell>
          <cell r="M252">
            <v>300</v>
          </cell>
        </row>
        <row r="253">
          <cell r="B253" t="str">
            <v>September</v>
          </cell>
        </row>
        <row r="253">
          <cell r="D253" t="str">
            <v>Q3</v>
          </cell>
        </row>
        <row r="253">
          <cell r="F253" t="str">
            <v>Wednesday</v>
          </cell>
          <cell r="G253">
            <v>110.5</v>
          </cell>
          <cell r="H253">
            <v>210.5</v>
          </cell>
          <cell r="I253">
            <v>70.5</v>
          </cell>
          <cell r="J253">
            <v>0</v>
          </cell>
          <cell r="K253">
            <v>60.5</v>
          </cell>
          <cell r="L253">
            <v>452</v>
          </cell>
          <cell r="M253">
            <v>300</v>
          </cell>
        </row>
        <row r="254">
          <cell r="B254" t="str">
            <v>September</v>
          </cell>
        </row>
        <row r="254">
          <cell r="D254" t="str">
            <v>Q3</v>
          </cell>
        </row>
        <row r="254">
          <cell r="F254" t="str">
            <v>Thursday</v>
          </cell>
          <cell r="G254">
            <v>80.5</v>
          </cell>
          <cell r="H254">
            <v>125.5</v>
          </cell>
          <cell r="I254">
            <v>95.5</v>
          </cell>
          <cell r="J254">
            <v>25.5</v>
          </cell>
          <cell r="K254">
            <v>45.5</v>
          </cell>
          <cell r="L254">
            <v>372.5</v>
          </cell>
          <cell r="M254">
            <v>300</v>
          </cell>
        </row>
        <row r="255">
          <cell r="B255" t="str">
            <v>September</v>
          </cell>
        </row>
        <row r="255">
          <cell r="D255" t="str">
            <v>Q3</v>
          </cell>
        </row>
        <row r="255">
          <cell r="F255" t="str">
            <v>Friday</v>
          </cell>
          <cell r="G255">
            <v>89.5</v>
          </cell>
          <cell r="H255">
            <v>90.5</v>
          </cell>
          <cell r="I255">
            <v>0</v>
          </cell>
          <cell r="J255">
            <v>0</v>
          </cell>
          <cell r="K255">
            <v>45.5</v>
          </cell>
          <cell r="L255">
            <v>225.5</v>
          </cell>
          <cell r="M255">
            <v>300</v>
          </cell>
        </row>
        <row r="256">
          <cell r="B256" t="str">
            <v>September</v>
          </cell>
        </row>
        <row r="256">
          <cell r="D256" t="str">
            <v>Q3</v>
          </cell>
        </row>
        <row r="256">
          <cell r="F256" t="str">
            <v>Saturday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300</v>
          </cell>
        </row>
        <row r="257">
          <cell r="B257" t="str">
            <v>September</v>
          </cell>
        </row>
        <row r="257">
          <cell r="D257" t="str">
            <v>Q3</v>
          </cell>
        </row>
        <row r="257">
          <cell r="F257" t="str">
            <v>Sunday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300</v>
          </cell>
        </row>
        <row r="258">
          <cell r="B258" t="str">
            <v>September</v>
          </cell>
        </row>
        <row r="258">
          <cell r="D258" t="str">
            <v>Q3</v>
          </cell>
        </row>
        <row r="258">
          <cell r="F258" t="str">
            <v>Monday</v>
          </cell>
          <cell r="G258">
            <v>65.5</v>
          </cell>
          <cell r="H258">
            <v>150.5</v>
          </cell>
          <cell r="I258">
            <v>75.5</v>
          </cell>
          <cell r="J258">
            <v>10.5</v>
          </cell>
          <cell r="K258">
            <v>80.5</v>
          </cell>
          <cell r="L258">
            <v>382.5</v>
          </cell>
          <cell r="M258">
            <v>300</v>
          </cell>
        </row>
        <row r="259">
          <cell r="B259" t="str">
            <v>September</v>
          </cell>
        </row>
        <row r="259">
          <cell r="D259" t="str">
            <v>Q3</v>
          </cell>
        </row>
        <row r="259">
          <cell r="F259" t="str">
            <v>Tuesday</v>
          </cell>
          <cell r="G259">
            <v>0</v>
          </cell>
          <cell r="H259">
            <v>190.5</v>
          </cell>
          <cell r="I259">
            <v>80.5</v>
          </cell>
          <cell r="J259">
            <v>0</v>
          </cell>
          <cell r="K259">
            <v>80.5</v>
          </cell>
          <cell r="L259">
            <v>351.5</v>
          </cell>
          <cell r="M259">
            <v>300</v>
          </cell>
        </row>
        <row r="260">
          <cell r="B260" t="str">
            <v>September</v>
          </cell>
        </row>
        <row r="260">
          <cell r="D260" t="str">
            <v>Q3</v>
          </cell>
        </row>
        <row r="260">
          <cell r="F260" t="str">
            <v>Wednesday</v>
          </cell>
          <cell r="G260">
            <v>60.5</v>
          </cell>
          <cell r="H260">
            <v>200.5</v>
          </cell>
          <cell r="I260">
            <v>75.5</v>
          </cell>
          <cell r="J260">
            <v>20.5</v>
          </cell>
          <cell r="K260">
            <v>65.5</v>
          </cell>
          <cell r="L260">
            <v>422.5</v>
          </cell>
          <cell r="M260">
            <v>300</v>
          </cell>
        </row>
        <row r="261">
          <cell r="B261" t="str">
            <v>September</v>
          </cell>
        </row>
        <row r="261">
          <cell r="D261" t="str">
            <v>Q3</v>
          </cell>
        </row>
        <row r="261">
          <cell r="F261" t="str">
            <v>Thursday</v>
          </cell>
          <cell r="G261">
            <v>50.5</v>
          </cell>
          <cell r="H261">
            <v>175.5</v>
          </cell>
          <cell r="I261">
            <v>0</v>
          </cell>
          <cell r="J261">
            <v>20.5</v>
          </cell>
          <cell r="K261">
            <v>0</v>
          </cell>
          <cell r="L261">
            <v>246.5</v>
          </cell>
          <cell r="M261">
            <v>300</v>
          </cell>
        </row>
        <row r="262">
          <cell r="B262" t="str">
            <v>September</v>
          </cell>
        </row>
        <row r="262">
          <cell r="D262" t="str">
            <v>Q3</v>
          </cell>
        </row>
        <row r="262">
          <cell r="F262" t="str">
            <v>Friday</v>
          </cell>
          <cell r="G262">
            <v>60.5</v>
          </cell>
          <cell r="H262">
            <v>65.5</v>
          </cell>
          <cell r="I262">
            <v>0</v>
          </cell>
          <cell r="J262">
            <v>0</v>
          </cell>
          <cell r="K262">
            <v>120.5</v>
          </cell>
          <cell r="L262">
            <v>246.5</v>
          </cell>
          <cell r="M262">
            <v>300</v>
          </cell>
        </row>
        <row r="263">
          <cell r="B263" t="str">
            <v>September</v>
          </cell>
        </row>
        <row r="263">
          <cell r="D263" t="str">
            <v>Q3</v>
          </cell>
        </row>
        <row r="263">
          <cell r="F263" t="str">
            <v>Saturday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300</v>
          </cell>
        </row>
        <row r="264">
          <cell r="B264" t="str">
            <v>September</v>
          </cell>
        </row>
        <row r="264">
          <cell r="D264" t="str">
            <v>Q3</v>
          </cell>
        </row>
        <row r="264">
          <cell r="F264" t="str">
            <v>Sunday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300</v>
          </cell>
        </row>
        <row r="265">
          <cell r="B265" t="str">
            <v>September</v>
          </cell>
        </row>
        <row r="265">
          <cell r="D265" t="str">
            <v>Q3</v>
          </cell>
        </row>
        <row r="265">
          <cell r="F265" t="str">
            <v>Monday</v>
          </cell>
          <cell r="G265">
            <v>40.5</v>
          </cell>
          <cell r="H265">
            <v>0</v>
          </cell>
          <cell r="I265">
            <v>75.5</v>
          </cell>
          <cell r="J265">
            <v>20.5</v>
          </cell>
          <cell r="K265">
            <v>0</v>
          </cell>
          <cell r="L265">
            <v>136.5</v>
          </cell>
          <cell r="M265">
            <v>300</v>
          </cell>
        </row>
        <row r="266">
          <cell r="B266" t="str">
            <v>September</v>
          </cell>
        </row>
        <row r="266">
          <cell r="D266" t="str">
            <v>Q3</v>
          </cell>
        </row>
        <row r="266">
          <cell r="F266" t="str">
            <v>Tuesday</v>
          </cell>
          <cell r="G266">
            <v>60.5</v>
          </cell>
          <cell r="H266">
            <v>170.5</v>
          </cell>
          <cell r="I266">
            <v>70.5</v>
          </cell>
          <cell r="J266">
            <v>0</v>
          </cell>
          <cell r="K266">
            <v>0</v>
          </cell>
          <cell r="L266">
            <v>301.5</v>
          </cell>
          <cell r="M266">
            <v>300</v>
          </cell>
        </row>
        <row r="267">
          <cell r="B267" t="str">
            <v>September</v>
          </cell>
        </row>
        <row r="267">
          <cell r="D267" t="str">
            <v>Q3</v>
          </cell>
        </row>
        <row r="267">
          <cell r="F267" t="str">
            <v>Wednesday</v>
          </cell>
          <cell r="G267">
            <v>60.5</v>
          </cell>
          <cell r="H267">
            <v>150.5</v>
          </cell>
          <cell r="I267">
            <v>0</v>
          </cell>
          <cell r="J267">
            <v>25.5</v>
          </cell>
          <cell r="K267">
            <v>40.5</v>
          </cell>
          <cell r="L267">
            <v>277</v>
          </cell>
          <cell r="M267">
            <v>300</v>
          </cell>
        </row>
        <row r="268">
          <cell r="B268" t="str">
            <v>September</v>
          </cell>
        </row>
        <row r="268">
          <cell r="D268" t="str">
            <v>Q3</v>
          </cell>
        </row>
        <row r="268">
          <cell r="F268" t="str">
            <v>Thursday</v>
          </cell>
          <cell r="G268">
            <v>85.5</v>
          </cell>
          <cell r="H268">
            <v>145.5</v>
          </cell>
          <cell r="I268">
            <v>60.5</v>
          </cell>
          <cell r="J268">
            <v>0</v>
          </cell>
          <cell r="K268">
            <v>0</v>
          </cell>
          <cell r="L268">
            <v>291.5</v>
          </cell>
          <cell r="M268">
            <v>300</v>
          </cell>
        </row>
        <row r="269">
          <cell r="B269" t="str">
            <v>September</v>
          </cell>
        </row>
        <row r="269">
          <cell r="D269" t="str">
            <v>Q3</v>
          </cell>
        </row>
        <row r="269">
          <cell r="F269" t="str">
            <v>Friday</v>
          </cell>
          <cell r="G269">
            <v>120.5</v>
          </cell>
          <cell r="H269">
            <v>250.5</v>
          </cell>
          <cell r="I269">
            <v>120.5</v>
          </cell>
          <cell r="J269">
            <v>10.5</v>
          </cell>
          <cell r="K269">
            <v>0</v>
          </cell>
          <cell r="L269">
            <v>502</v>
          </cell>
          <cell r="M269">
            <v>300</v>
          </cell>
        </row>
        <row r="270">
          <cell r="B270" t="str">
            <v>September</v>
          </cell>
        </row>
        <row r="270">
          <cell r="D270" t="str">
            <v>Q3</v>
          </cell>
        </row>
        <row r="270">
          <cell r="F270" t="str">
            <v>Saturday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300</v>
          </cell>
        </row>
        <row r="271">
          <cell r="B271" t="str">
            <v>September</v>
          </cell>
        </row>
        <row r="271">
          <cell r="D271" t="str">
            <v>Q3</v>
          </cell>
        </row>
        <row r="271">
          <cell r="F271" t="str">
            <v>Sunday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300</v>
          </cell>
        </row>
        <row r="272">
          <cell r="B272" t="str">
            <v>September</v>
          </cell>
        </row>
        <row r="272">
          <cell r="D272" t="str">
            <v>Q3</v>
          </cell>
        </row>
        <row r="272">
          <cell r="F272" t="str">
            <v>Monday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300</v>
          </cell>
        </row>
        <row r="273">
          <cell r="B273" t="str">
            <v>September</v>
          </cell>
        </row>
        <row r="273">
          <cell r="D273" t="str">
            <v>Q3</v>
          </cell>
        </row>
        <row r="273">
          <cell r="F273" t="str">
            <v>Tuesday</v>
          </cell>
          <cell r="G273">
            <v>110.5</v>
          </cell>
          <cell r="H273">
            <v>175.5</v>
          </cell>
          <cell r="I273">
            <v>105.5</v>
          </cell>
          <cell r="J273">
            <v>20.5</v>
          </cell>
          <cell r="K273">
            <v>80.5</v>
          </cell>
          <cell r="L273">
            <v>492.5</v>
          </cell>
          <cell r="M273">
            <v>300</v>
          </cell>
        </row>
        <row r="274">
          <cell r="B274" t="str">
            <v>September</v>
          </cell>
        </row>
        <row r="274">
          <cell r="D274" t="str">
            <v>Q3</v>
          </cell>
        </row>
        <row r="274">
          <cell r="F274" t="str">
            <v>Wednesday</v>
          </cell>
          <cell r="G274">
            <v>50.5</v>
          </cell>
          <cell r="H274">
            <v>190.5</v>
          </cell>
          <cell r="I274">
            <v>125.5</v>
          </cell>
          <cell r="J274">
            <v>10.5</v>
          </cell>
          <cell r="K274">
            <v>80.5</v>
          </cell>
          <cell r="L274">
            <v>457.5</v>
          </cell>
          <cell r="M274">
            <v>300</v>
          </cell>
        </row>
        <row r="275">
          <cell r="B275" t="str">
            <v>October</v>
          </cell>
        </row>
        <row r="275">
          <cell r="D275" t="str">
            <v>Q4</v>
          </cell>
        </row>
        <row r="275">
          <cell r="F275" t="str">
            <v>Thursday</v>
          </cell>
          <cell r="G275">
            <v>75.5</v>
          </cell>
          <cell r="H275">
            <v>225.5</v>
          </cell>
          <cell r="I275">
            <v>0</v>
          </cell>
          <cell r="J275">
            <v>0</v>
          </cell>
          <cell r="K275">
            <v>50.5</v>
          </cell>
          <cell r="L275">
            <v>351.5</v>
          </cell>
          <cell r="M275">
            <v>300</v>
          </cell>
        </row>
        <row r="276">
          <cell r="B276" t="str">
            <v>October</v>
          </cell>
        </row>
        <row r="276">
          <cell r="D276" t="str">
            <v>Q4</v>
          </cell>
        </row>
        <row r="276">
          <cell r="F276" t="str">
            <v>Friday</v>
          </cell>
          <cell r="G276">
            <v>45.5</v>
          </cell>
          <cell r="H276">
            <v>200.5</v>
          </cell>
          <cell r="I276">
            <v>115.5</v>
          </cell>
          <cell r="J276">
            <v>30.5</v>
          </cell>
          <cell r="K276">
            <v>50.5</v>
          </cell>
          <cell r="L276">
            <v>442.5</v>
          </cell>
          <cell r="M276">
            <v>300</v>
          </cell>
        </row>
        <row r="277">
          <cell r="B277" t="str">
            <v>October</v>
          </cell>
        </row>
        <row r="277">
          <cell r="D277" t="str">
            <v>Q4</v>
          </cell>
        </row>
        <row r="277">
          <cell r="F277" t="str">
            <v>Saturday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300</v>
          </cell>
        </row>
        <row r="278">
          <cell r="B278" t="str">
            <v>October</v>
          </cell>
        </row>
        <row r="278">
          <cell r="D278" t="str">
            <v>Q4</v>
          </cell>
        </row>
        <row r="278">
          <cell r="F278" t="str">
            <v>Sunday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300</v>
          </cell>
        </row>
        <row r="279">
          <cell r="B279" t="str">
            <v>October</v>
          </cell>
        </row>
        <row r="279">
          <cell r="D279" t="str">
            <v>Q4</v>
          </cell>
        </row>
        <row r="279">
          <cell r="F279" t="str">
            <v>Monday</v>
          </cell>
          <cell r="G279">
            <v>45.5</v>
          </cell>
          <cell r="H279">
            <v>59.5</v>
          </cell>
          <cell r="I279">
            <v>0</v>
          </cell>
          <cell r="J279">
            <v>0</v>
          </cell>
          <cell r="K279">
            <v>57.5</v>
          </cell>
          <cell r="L279">
            <v>162.5</v>
          </cell>
          <cell r="M279">
            <v>300</v>
          </cell>
        </row>
        <row r="280">
          <cell r="B280" t="str">
            <v>October</v>
          </cell>
        </row>
        <row r="280">
          <cell r="D280" t="str">
            <v>Q4</v>
          </cell>
        </row>
        <row r="280">
          <cell r="F280" t="str">
            <v>Tuesday</v>
          </cell>
          <cell r="G280">
            <v>67.5</v>
          </cell>
          <cell r="H280">
            <v>128.5</v>
          </cell>
          <cell r="I280">
            <v>0</v>
          </cell>
          <cell r="J280">
            <v>0</v>
          </cell>
          <cell r="K280">
            <v>60.5</v>
          </cell>
          <cell r="L280">
            <v>256.5</v>
          </cell>
          <cell r="M280">
            <v>300</v>
          </cell>
        </row>
        <row r="281">
          <cell r="B281" t="str">
            <v>October</v>
          </cell>
        </row>
        <row r="281">
          <cell r="D281" t="str">
            <v>Q4</v>
          </cell>
        </row>
        <row r="281">
          <cell r="F281" t="str">
            <v>Wednesday</v>
          </cell>
          <cell r="G281">
            <v>50.5</v>
          </cell>
          <cell r="H281">
            <v>67.5</v>
          </cell>
          <cell r="I281">
            <v>125.5</v>
          </cell>
          <cell r="J281">
            <v>0</v>
          </cell>
          <cell r="K281">
            <v>40.5</v>
          </cell>
          <cell r="L281">
            <v>284</v>
          </cell>
          <cell r="M281">
            <v>300</v>
          </cell>
        </row>
        <row r="282">
          <cell r="B282" t="str">
            <v>October</v>
          </cell>
        </row>
        <row r="282">
          <cell r="D282" t="str">
            <v>Q4</v>
          </cell>
        </row>
        <row r="282">
          <cell r="F282" t="str">
            <v>Thursday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300</v>
          </cell>
        </row>
        <row r="283">
          <cell r="B283" t="str">
            <v>October</v>
          </cell>
        </row>
        <row r="283">
          <cell r="D283" t="str">
            <v>Q4</v>
          </cell>
        </row>
        <row r="283">
          <cell r="F283" t="str">
            <v>Friday</v>
          </cell>
          <cell r="G283">
            <v>125.5</v>
          </cell>
          <cell r="H283">
            <v>230.5</v>
          </cell>
          <cell r="I283">
            <v>0</v>
          </cell>
          <cell r="J283">
            <v>25.5</v>
          </cell>
          <cell r="K283">
            <v>100.5</v>
          </cell>
          <cell r="L283">
            <v>482</v>
          </cell>
          <cell r="M283">
            <v>300</v>
          </cell>
        </row>
        <row r="284">
          <cell r="B284" t="str">
            <v>October</v>
          </cell>
        </row>
        <row r="284">
          <cell r="D284" t="str">
            <v>Q4</v>
          </cell>
        </row>
        <row r="284">
          <cell r="F284" t="str">
            <v>Saturday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300</v>
          </cell>
        </row>
        <row r="285">
          <cell r="B285" t="str">
            <v>October</v>
          </cell>
        </row>
        <row r="285">
          <cell r="D285" t="str">
            <v>Q4</v>
          </cell>
        </row>
        <row r="285">
          <cell r="F285" t="str">
            <v>Sunday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300</v>
          </cell>
        </row>
        <row r="286">
          <cell r="B286" t="str">
            <v>October</v>
          </cell>
        </row>
        <row r="286">
          <cell r="D286" t="str">
            <v>Q4</v>
          </cell>
        </row>
        <row r="286">
          <cell r="F286" t="str">
            <v>Monday</v>
          </cell>
          <cell r="G286">
            <v>75.5</v>
          </cell>
          <cell r="H286">
            <v>190.5</v>
          </cell>
          <cell r="I286">
            <v>125.5</v>
          </cell>
          <cell r="J286">
            <v>25.5</v>
          </cell>
          <cell r="K286">
            <v>60.5</v>
          </cell>
          <cell r="L286">
            <v>477.5</v>
          </cell>
          <cell r="M286">
            <v>300</v>
          </cell>
        </row>
        <row r="287">
          <cell r="B287" t="str">
            <v>October</v>
          </cell>
        </row>
        <row r="287">
          <cell r="D287" t="str">
            <v>Q4</v>
          </cell>
        </row>
        <row r="287">
          <cell r="F287" t="str">
            <v>Tuesday</v>
          </cell>
          <cell r="G287">
            <v>120.5</v>
          </cell>
          <cell r="H287">
            <v>255.5</v>
          </cell>
          <cell r="I287">
            <v>95.5</v>
          </cell>
          <cell r="J287">
            <v>10.5</v>
          </cell>
          <cell r="K287">
            <v>70.5</v>
          </cell>
          <cell r="L287">
            <v>552.5</v>
          </cell>
          <cell r="M287">
            <v>300</v>
          </cell>
        </row>
        <row r="288">
          <cell r="B288" t="str">
            <v>October</v>
          </cell>
        </row>
        <row r="288">
          <cell r="D288" t="str">
            <v>Q4</v>
          </cell>
        </row>
        <row r="288">
          <cell r="F288" t="str">
            <v>Wednesday</v>
          </cell>
          <cell r="G288">
            <v>70.5</v>
          </cell>
          <cell r="H288">
            <v>0</v>
          </cell>
          <cell r="I288">
            <v>105.5</v>
          </cell>
          <cell r="J288">
            <v>30.5</v>
          </cell>
          <cell r="K288">
            <v>50.5</v>
          </cell>
          <cell r="L288">
            <v>257</v>
          </cell>
          <cell r="M288">
            <v>300</v>
          </cell>
        </row>
        <row r="289">
          <cell r="B289" t="str">
            <v>October</v>
          </cell>
        </row>
        <row r="289">
          <cell r="D289" t="str">
            <v>Q4</v>
          </cell>
        </row>
        <row r="289">
          <cell r="F289" t="str">
            <v>Thursday</v>
          </cell>
          <cell r="G289">
            <v>60.5</v>
          </cell>
          <cell r="H289">
            <v>49.5</v>
          </cell>
          <cell r="I289">
            <v>0</v>
          </cell>
          <cell r="J289">
            <v>0</v>
          </cell>
          <cell r="K289">
            <v>56.5</v>
          </cell>
          <cell r="L289">
            <v>166.5</v>
          </cell>
          <cell r="M289">
            <v>300</v>
          </cell>
        </row>
        <row r="290">
          <cell r="B290" t="str">
            <v>October</v>
          </cell>
        </row>
        <row r="290">
          <cell r="D290" t="str">
            <v>Q4</v>
          </cell>
        </row>
        <row r="290">
          <cell r="F290" t="str">
            <v>Friday</v>
          </cell>
          <cell r="G290">
            <v>110.5</v>
          </cell>
          <cell r="H290">
            <v>340.5</v>
          </cell>
          <cell r="I290">
            <v>155.5</v>
          </cell>
          <cell r="J290">
            <v>20.5</v>
          </cell>
          <cell r="K290">
            <v>0</v>
          </cell>
          <cell r="L290">
            <v>627</v>
          </cell>
          <cell r="M290">
            <v>300</v>
          </cell>
        </row>
        <row r="291">
          <cell r="B291" t="str">
            <v>October</v>
          </cell>
        </row>
        <row r="291">
          <cell r="D291" t="str">
            <v>Q4</v>
          </cell>
        </row>
        <row r="291">
          <cell r="F291" t="str">
            <v>Saturday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300</v>
          </cell>
        </row>
        <row r="292">
          <cell r="B292" t="str">
            <v>October</v>
          </cell>
        </row>
        <row r="292">
          <cell r="D292" t="str">
            <v>Q4</v>
          </cell>
        </row>
        <row r="292">
          <cell r="F292" t="str">
            <v>Sunday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300</v>
          </cell>
        </row>
        <row r="293">
          <cell r="B293" t="str">
            <v>October</v>
          </cell>
        </row>
        <row r="293">
          <cell r="D293" t="str">
            <v>Q4</v>
          </cell>
        </row>
        <row r="293">
          <cell r="F293" t="str">
            <v>Monday</v>
          </cell>
          <cell r="G293">
            <v>60.5</v>
          </cell>
          <cell r="H293">
            <v>215.5</v>
          </cell>
          <cell r="I293">
            <v>105.5</v>
          </cell>
          <cell r="J293">
            <v>0</v>
          </cell>
          <cell r="K293">
            <v>0</v>
          </cell>
          <cell r="L293">
            <v>381.5</v>
          </cell>
          <cell r="M293">
            <v>300</v>
          </cell>
        </row>
        <row r="294">
          <cell r="B294" t="str">
            <v>October</v>
          </cell>
        </row>
        <row r="294">
          <cell r="D294" t="str">
            <v>Q4</v>
          </cell>
        </row>
        <row r="294">
          <cell r="F294" t="str">
            <v>Tuesday</v>
          </cell>
          <cell r="G294">
            <v>70.5</v>
          </cell>
          <cell r="H294">
            <v>0</v>
          </cell>
          <cell r="I294">
            <v>0</v>
          </cell>
          <cell r="J294">
            <v>20.5</v>
          </cell>
          <cell r="K294">
            <v>30.5</v>
          </cell>
          <cell r="L294">
            <v>121.5</v>
          </cell>
          <cell r="M294">
            <v>300</v>
          </cell>
        </row>
        <row r="295">
          <cell r="B295" t="str">
            <v>October</v>
          </cell>
        </row>
        <row r="295">
          <cell r="D295" t="str">
            <v>Q4</v>
          </cell>
        </row>
        <row r="295">
          <cell r="F295" t="str">
            <v>Wednesday</v>
          </cell>
          <cell r="G295">
            <v>34.5</v>
          </cell>
          <cell r="H295">
            <v>67.5</v>
          </cell>
          <cell r="I295">
            <v>0</v>
          </cell>
          <cell r="J295">
            <v>0</v>
          </cell>
          <cell r="K295">
            <v>130.5</v>
          </cell>
          <cell r="L295">
            <v>232.5</v>
          </cell>
          <cell r="M295">
            <v>300</v>
          </cell>
        </row>
        <row r="296">
          <cell r="B296" t="str">
            <v>October</v>
          </cell>
        </row>
        <row r="296">
          <cell r="D296" t="str">
            <v>Q4</v>
          </cell>
        </row>
        <row r="296">
          <cell r="F296" t="str">
            <v>Thursday</v>
          </cell>
          <cell r="G296">
            <v>75.5</v>
          </cell>
          <cell r="H296">
            <v>165.5</v>
          </cell>
          <cell r="I296">
            <v>60.5</v>
          </cell>
          <cell r="J296">
            <v>0</v>
          </cell>
          <cell r="K296">
            <v>100.5</v>
          </cell>
          <cell r="L296">
            <v>402</v>
          </cell>
          <cell r="M296">
            <v>300</v>
          </cell>
        </row>
        <row r="297">
          <cell r="B297" t="str">
            <v>October</v>
          </cell>
        </row>
        <row r="297">
          <cell r="D297" t="str">
            <v>Q4</v>
          </cell>
        </row>
        <row r="297">
          <cell r="F297" t="str">
            <v>Friday</v>
          </cell>
          <cell r="G297">
            <v>75.5</v>
          </cell>
          <cell r="H297">
            <v>200.5</v>
          </cell>
          <cell r="I297">
            <v>130.5</v>
          </cell>
          <cell r="J297">
            <v>15.5</v>
          </cell>
          <cell r="K297">
            <v>40.5</v>
          </cell>
          <cell r="L297">
            <v>462.5</v>
          </cell>
          <cell r="M297">
            <v>300</v>
          </cell>
        </row>
        <row r="298">
          <cell r="B298" t="str">
            <v>October</v>
          </cell>
        </row>
        <row r="298">
          <cell r="D298" t="str">
            <v>Q4</v>
          </cell>
        </row>
        <row r="298">
          <cell r="F298" t="str">
            <v>Saturday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300</v>
          </cell>
        </row>
        <row r="299">
          <cell r="B299" t="str">
            <v>October</v>
          </cell>
        </row>
        <row r="299">
          <cell r="D299" t="str">
            <v>Q4</v>
          </cell>
        </row>
        <row r="299">
          <cell r="F299" t="str">
            <v>Sunday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300</v>
          </cell>
        </row>
        <row r="300">
          <cell r="B300" t="str">
            <v>October</v>
          </cell>
        </row>
        <row r="300">
          <cell r="D300" t="str">
            <v>Q4</v>
          </cell>
        </row>
        <row r="300">
          <cell r="F300" t="str">
            <v>Monday</v>
          </cell>
          <cell r="G300">
            <v>50.5</v>
          </cell>
          <cell r="H300">
            <v>170.5</v>
          </cell>
          <cell r="I300">
            <v>85.5</v>
          </cell>
          <cell r="J300">
            <v>25.5</v>
          </cell>
          <cell r="K300">
            <v>0</v>
          </cell>
          <cell r="L300">
            <v>332</v>
          </cell>
          <cell r="M300">
            <v>300</v>
          </cell>
        </row>
        <row r="301">
          <cell r="B301" t="str">
            <v>October</v>
          </cell>
        </row>
        <row r="301">
          <cell r="D301" t="str">
            <v>Q4</v>
          </cell>
        </row>
        <row r="301">
          <cell r="F301" t="str">
            <v>Tuesday</v>
          </cell>
          <cell r="G301">
            <v>90.5</v>
          </cell>
          <cell r="H301">
            <v>235.5</v>
          </cell>
          <cell r="I301">
            <v>115.5</v>
          </cell>
          <cell r="J301">
            <v>20.5</v>
          </cell>
          <cell r="K301">
            <v>80.5</v>
          </cell>
          <cell r="L301">
            <v>542.5</v>
          </cell>
          <cell r="M301">
            <v>300</v>
          </cell>
        </row>
        <row r="302">
          <cell r="B302" t="str">
            <v>October</v>
          </cell>
        </row>
        <row r="302">
          <cell r="D302" t="str">
            <v>Q4</v>
          </cell>
        </row>
        <row r="302">
          <cell r="F302" t="str">
            <v>Wednesday</v>
          </cell>
          <cell r="G302">
            <v>60.5</v>
          </cell>
          <cell r="H302">
            <v>145.5</v>
          </cell>
          <cell r="I302">
            <v>0</v>
          </cell>
          <cell r="J302">
            <v>10.5</v>
          </cell>
          <cell r="K302">
            <v>30.5</v>
          </cell>
          <cell r="L302">
            <v>247</v>
          </cell>
          <cell r="M302">
            <v>300</v>
          </cell>
        </row>
        <row r="303">
          <cell r="B303" t="str">
            <v>October</v>
          </cell>
        </row>
        <row r="303">
          <cell r="D303" t="str">
            <v>Q4</v>
          </cell>
        </row>
        <row r="303">
          <cell r="F303" t="str">
            <v>Thursday</v>
          </cell>
          <cell r="G303">
            <v>55.5</v>
          </cell>
          <cell r="H303">
            <v>170.5</v>
          </cell>
          <cell r="I303">
            <v>90.5</v>
          </cell>
          <cell r="J303">
            <v>0</v>
          </cell>
          <cell r="K303">
            <v>65.5</v>
          </cell>
          <cell r="L303">
            <v>382</v>
          </cell>
          <cell r="M303">
            <v>300</v>
          </cell>
        </row>
        <row r="304">
          <cell r="B304" t="str">
            <v>October</v>
          </cell>
        </row>
        <row r="304">
          <cell r="D304" t="str">
            <v>Q4</v>
          </cell>
        </row>
        <row r="304">
          <cell r="F304" t="str">
            <v>Friday</v>
          </cell>
          <cell r="G304">
            <v>145.5</v>
          </cell>
          <cell r="H304">
            <v>280.5</v>
          </cell>
          <cell r="I304">
            <v>95.5</v>
          </cell>
          <cell r="J304">
            <v>0</v>
          </cell>
          <cell r="K304">
            <v>40.5</v>
          </cell>
          <cell r="L304">
            <v>562</v>
          </cell>
          <cell r="M304">
            <v>300</v>
          </cell>
        </row>
        <row r="305">
          <cell r="B305" t="str">
            <v>October</v>
          </cell>
        </row>
        <row r="305">
          <cell r="D305" t="str">
            <v>Q4</v>
          </cell>
        </row>
        <row r="305">
          <cell r="F305" t="str">
            <v>Saturday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300</v>
          </cell>
        </row>
        <row r="306">
          <cell r="B306" t="str">
            <v>November</v>
          </cell>
        </row>
        <row r="306">
          <cell r="D306" t="str">
            <v>Q4</v>
          </cell>
        </row>
        <row r="306">
          <cell r="F306" t="str">
            <v>Sunday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300</v>
          </cell>
        </row>
        <row r="307">
          <cell r="B307" t="str">
            <v>November</v>
          </cell>
        </row>
        <row r="307">
          <cell r="D307" t="str">
            <v>Q4</v>
          </cell>
        </row>
        <row r="307">
          <cell r="F307" t="str">
            <v>Monday</v>
          </cell>
          <cell r="G307">
            <v>55.5</v>
          </cell>
          <cell r="H307">
            <v>180.5</v>
          </cell>
          <cell r="I307">
            <v>120.5</v>
          </cell>
          <cell r="J307">
            <v>20.5</v>
          </cell>
          <cell r="K307">
            <v>0</v>
          </cell>
          <cell r="L307">
            <v>377</v>
          </cell>
          <cell r="M307">
            <v>300</v>
          </cell>
        </row>
        <row r="308">
          <cell r="B308" t="str">
            <v>November</v>
          </cell>
        </row>
        <row r="308">
          <cell r="D308" t="str">
            <v>Q4</v>
          </cell>
        </row>
        <row r="308">
          <cell r="F308" t="str">
            <v>Tuesday</v>
          </cell>
          <cell r="G308">
            <v>65.5</v>
          </cell>
          <cell r="H308">
            <v>150.5</v>
          </cell>
          <cell r="I308">
            <v>100.5</v>
          </cell>
          <cell r="J308">
            <v>15.5</v>
          </cell>
          <cell r="K308">
            <v>0</v>
          </cell>
          <cell r="L308">
            <v>332</v>
          </cell>
          <cell r="M308">
            <v>300</v>
          </cell>
        </row>
        <row r="309">
          <cell r="B309" t="str">
            <v>November</v>
          </cell>
        </row>
        <row r="309">
          <cell r="D309" t="str">
            <v>Q4</v>
          </cell>
        </row>
        <row r="309">
          <cell r="F309" t="str">
            <v>Wednesday</v>
          </cell>
          <cell r="G309">
            <v>95.5</v>
          </cell>
          <cell r="H309">
            <v>0</v>
          </cell>
          <cell r="I309">
            <v>100.5</v>
          </cell>
          <cell r="J309">
            <v>20.5</v>
          </cell>
          <cell r="K309">
            <v>50.5</v>
          </cell>
          <cell r="L309">
            <v>267</v>
          </cell>
          <cell r="M309">
            <v>300</v>
          </cell>
        </row>
        <row r="310">
          <cell r="B310" t="str">
            <v>November</v>
          </cell>
        </row>
        <row r="310">
          <cell r="D310" t="str">
            <v>Q4</v>
          </cell>
        </row>
        <row r="310">
          <cell r="F310" t="str">
            <v>Thursday</v>
          </cell>
          <cell r="G310">
            <v>115.5</v>
          </cell>
          <cell r="H310">
            <v>275.5</v>
          </cell>
          <cell r="I310">
            <v>135.5</v>
          </cell>
          <cell r="J310">
            <v>0</v>
          </cell>
          <cell r="K310">
            <v>30.5</v>
          </cell>
          <cell r="L310">
            <v>557</v>
          </cell>
          <cell r="M310">
            <v>300</v>
          </cell>
        </row>
        <row r="311">
          <cell r="B311" t="str">
            <v>November</v>
          </cell>
        </row>
        <row r="311">
          <cell r="D311" t="str">
            <v>Q4</v>
          </cell>
        </row>
        <row r="311">
          <cell r="F311" t="str">
            <v>Friday</v>
          </cell>
          <cell r="G311">
            <v>100.5</v>
          </cell>
          <cell r="H311">
            <v>255.5</v>
          </cell>
          <cell r="I311">
            <v>145.5</v>
          </cell>
          <cell r="J311">
            <v>30.5</v>
          </cell>
          <cell r="K311">
            <v>0</v>
          </cell>
          <cell r="L311">
            <v>532</v>
          </cell>
          <cell r="M311">
            <v>300</v>
          </cell>
        </row>
        <row r="312">
          <cell r="B312" t="str">
            <v>November</v>
          </cell>
        </row>
        <row r="312">
          <cell r="D312" t="str">
            <v>Q4</v>
          </cell>
        </row>
        <row r="312">
          <cell r="F312" t="str">
            <v>Saturday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300</v>
          </cell>
        </row>
        <row r="313">
          <cell r="B313" t="str">
            <v>November</v>
          </cell>
        </row>
        <row r="313">
          <cell r="D313" t="str">
            <v>Q4</v>
          </cell>
        </row>
        <row r="313">
          <cell r="F313" t="str">
            <v>Sunday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300</v>
          </cell>
        </row>
        <row r="314">
          <cell r="B314" t="str">
            <v>November</v>
          </cell>
        </row>
        <row r="314">
          <cell r="D314" t="str">
            <v>Q4</v>
          </cell>
        </row>
        <row r="314">
          <cell r="F314" t="str">
            <v>Monday</v>
          </cell>
          <cell r="G314">
            <v>80.5</v>
          </cell>
          <cell r="H314">
            <v>165.5</v>
          </cell>
          <cell r="I314">
            <v>95.5</v>
          </cell>
          <cell r="J314">
            <v>10.5</v>
          </cell>
          <cell r="K314">
            <v>120.5</v>
          </cell>
          <cell r="L314">
            <v>472.5</v>
          </cell>
          <cell r="M314">
            <v>300</v>
          </cell>
        </row>
        <row r="315">
          <cell r="B315" t="str">
            <v>November</v>
          </cell>
        </row>
        <row r="315">
          <cell r="D315" t="str">
            <v>Q4</v>
          </cell>
        </row>
        <row r="315">
          <cell r="F315" t="str">
            <v>Tuesday</v>
          </cell>
          <cell r="G315">
            <v>30.5</v>
          </cell>
          <cell r="H315">
            <v>175.5</v>
          </cell>
          <cell r="I315">
            <v>75.5</v>
          </cell>
          <cell r="J315">
            <v>0</v>
          </cell>
          <cell r="K315">
            <v>0</v>
          </cell>
          <cell r="L315">
            <v>281.5</v>
          </cell>
          <cell r="M315">
            <v>300</v>
          </cell>
        </row>
        <row r="316">
          <cell r="B316" t="str">
            <v>November</v>
          </cell>
        </row>
        <row r="316">
          <cell r="D316" t="str">
            <v>Q4</v>
          </cell>
        </row>
        <row r="316">
          <cell r="F316" t="str">
            <v>Wednesday</v>
          </cell>
          <cell r="G316">
            <v>90.5</v>
          </cell>
          <cell r="H316">
            <v>240.5</v>
          </cell>
          <cell r="I316">
            <v>75.5</v>
          </cell>
          <cell r="J316">
            <v>25.5</v>
          </cell>
          <cell r="K316">
            <v>50.5</v>
          </cell>
          <cell r="L316">
            <v>482.5</v>
          </cell>
          <cell r="M316">
            <v>300</v>
          </cell>
        </row>
        <row r="317">
          <cell r="B317" t="str">
            <v>November</v>
          </cell>
        </row>
        <row r="317">
          <cell r="D317" t="str">
            <v>Q4</v>
          </cell>
        </row>
        <row r="317">
          <cell r="F317" t="str">
            <v>Thursday</v>
          </cell>
          <cell r="G317">
            <v>45.5</v>
          </cell>
          <cell r="H317">
            <v>0</v>
          </cell>
          <cell r="I317">
            <v>0</v>
          </cell>
          <cell r="J317">
            <v>30.5</v>
          </cell>
          <cell r="K317">
            <v>40.5</v>
          </cell>
          <cell r="L317">
            <v>116.5</v>
          </cell>
          <cell r="M317">
            <v>300</v>
          </cell>
        </row>
        <row r="318">
          <cell r="B318" t="str">
            <v>November</v>
          </cell>
        </row>
        <row r="318">
          <cell r="D318" t="str">
            <v>Q4</v>
          </cell>
        </row>
        <row r="318">
          <cell r="F318" t="str">
            <v>Friday</v>
          </cell>
          <cell r="G318">
            <v>90.5</v>
          </cell>
          <cell r="H318">
            <v>225.5</v>
          </cell>
          <cell r="I318">
            <v>0</v>
          </cell>
          <cell r="J318">
            <v>15.5</v>
          </cell>
          <cell r="K318">
            <v>90.5</v>
          </cell>
          <cell r="L318">
            <v>422</v>
          </cell>
          <cell r="M318">
            <v>300</v>
          </cell>
        </row>
        <row r="319">
          <cell r="B319" t="str">
            <v>November</v>
          </cell>
        </row>
        <row r="319">
          <cell r="D319" t="str">
            <v>Q4</v>
          </cell>
        </row>
        <row r="319">
          <cell r="F319" t="str">
            <v>Saturday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300</v>
          </cell>
        </row>
        <row r="320">
          <cell r="B320" t="str">
            <v>November</v>
          </cell>
        </row>
        <row r="320">
          <cell r="D320" t="str">
            <v>Q4</v>
          </cell>
        </row>
        <row r="320">
          <cell r="F320" t="str">
            <v>Sunday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300</v>
          </cell>
        </row>
        <row r="321">
          <cell r="B321" t="str">
            <v>November</v>
          </cell>
        </row>
        <row r="321">
          <cell r="D321" t="str">
            <v>Q4</v>
          </cell>
        </row>
        <row r="321">
          <cell r="F321" t="str">
            <v>Monday</v>
          </cell>
          <cell r="G321">
            <v>34.5</v>
          </cell>
          <cell r="H321">
            <v>120.5</v>
          </cell>
          <cell r="I321">
            <v>0</v>
          </cell>
          <cell r="J321">
            <v>0</v>
          </cell>
          <cell r="K321">
            <v>120.5</v>
          </cell>
          <cell r="L321">
            <v>275.5</v>
          </cell>
          <cell r="M321">
            <v>300</v>
          </cell>
        </row>
        <row r="322">
          <cell r="B322" t="str">
            <v>November</v>
          </cell>
        </row>
        <row r="322">
          <cell r="D322" t="str">
            <v>Q4</v>
          </cell>
        </row>
        <row r="322">
          <cell r="F322" t="str">
            <v>Tuesday</v>
          </cell>
          <cell r="G322">
            <v>45.5</v>
          </cell>
          <cell r="H322">
            <v>185.5</v>
          </cell>
          <cell r="I322">
            <v>95.5</v>
          </cell>
          <cell r="J322">
            <v>0</v>
          </cell>
          <cell r="K322">
            <v>100.5</v>
          </cell>
          <cell r="L322">
            <v>427</v>
          </cell>
          <cell r="M322">
            <v>300</v>
          </cell>
        </row>
        <row r="323">
          <cell r="B323" t="str">
            <v>November</v>
          </cell>
        </row>
        <row r="323">
          <cell r="D323" t="str">
            <v>Q4</v>
          </cell>
        </row>
        <row r="323">
          <cell r="F323" t="str">
            <v>Wednesday</v>
          </cell>
          <cell r="G323">
            <v>68.5</v>
          </cell>
          <cell r="H323">
            <v>60.5</v>
          </cell>
          <cell r="I323">
            <v>0</v>
          </cell>
          <cell r="J323">
            <v>0</v>
          </cell>
          <cell r="K323">
            <v>70.5</v>
          </cell>
          <cell r="L323">
            <v>199.5</v>
          </cell>
          <cell r="M323">
            <v>300</v>
          </cell>
        </row>
        <row r="324">
          <cell r="B324" t="str">
            <v>November</v>
          </cell>
        </row>
        <row r="324">
          <cell r="D324" t="str">
            <v>Q4</v>
          </cell>
        </row>
        <row r="324">
          <cell r="F324" t="str">
            <v>Thursday</v>
          </cell>
          <cell r="G324">
            <v>90.5</v>
          </cell>
          <cell r="H324">
            <v>90.5</v>
          </cell>
          <cell r="I324">
            <v>0</v>
          </cell>
          <cell r="J324">
            <v>0</v>
          </cell>
          <cell r="K324">
            <v>200.5</v>
          </cell>
          <cell r="L324">
            <v>381.5</v>
          </cell>
          <cell r="M324">
            <v>300</v>
          </cell>
        </row>
        <row r="325">
          <cell r="B325" t="str">
            <v>November</v>
          </cell>
        </row>
        <row r="325">
          <cell r="D325" t="str">
            <v>Q4</v>
          </cell>
        </row>
        <row r="325">
          <cell r="F325" t="str">
            <v>Friday</v>
          </cell>
          <cell r="G325">
            <v>145.5</v>
          </cell>
          <cell r="H325">
            <v>230.5</v>
          </cell>
          <cell r="I325">
            <v>95.5</v>
          </cell>
          <cell r="J325">
            <v>10.5</v>
          </cell>
          <cell r="K325">
            <v>20.5</v>
          </cell>
          <cell r="L325">
            <v>502.5</v>
          </cell>
          <cell r="M325">
            <v>300</v>
          </cell>
        </row>
        <row r="326">
          <cell r="B326" t="str">
            <v>November</v>
          </cell>
        </row>
        <row r="326">
          <cell r="D326" t="str">
            <v>Q4</v>
          </cell>
        </row>
        <row r="326">
          <cell r="F326" t="str">
            <v>Saturday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300</v>
          </cell>
        </row>
        <row r="327">
          <cell r="B327" t="str">
            <v>November</v>
          </cell>
        </row>
        <row r="327">
          <cell r="D327" t="str">
            <v>Q4</v>
          </cell>
        </row>
        <row r="327">
          <cell r="F327" t="str">
            <v>Sunday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300</v>
          </cell>
        </row>
        <row r="328">
          <cell r="B328" t="str">
            <v>November</v>
          </cell>
        </row>
        <row r="328">
          <cell r="D328" t="str">
            <v>Q4</v>
          </cell>
        </row>
        <row r="328">
          <cell r="F328" t="str">
            <v>Monday</v>
          </cell>
          <cell r="G328">
            <v>75.5</v>
          </cell>
          <cell r="H328">
            <v>185.5</v>
          </cell>
          <cell r="I328">
            <v>110.5</v>
          </cell>
          <cell r="J328">
            <v>10.5</v>
          </cell>
          <cell r="K328">
            <v>0</v>
          </cell>
          <cell r="L328">
            <v>382</v>
          </cell>
          <cell r="M328">
            <v>300</v>
          </cell>
        </row>
        <row r="329">
          <cell r="B329" t="str">
            <v>November</v>
          </cell>
        </row>
        <row r="329">
          <cell r="D329" t="str">
            <v>Q4</v>
          </cell>
        </row>
        <row r="329">
          <cell r="F329" t="str">
            <v>Tuesday</v>
          </cell>
          <cell r="G329">
            <v>90.5</v>
          </cell>
          <cell r="H329">
            <v>200.5</v>
          </cell>
          <cell r="I329">
            <v>55.5</v>
          </cell>
          <cell r="J329">
            <v>30.5</v>
          </cell>
          <cell r="K329">
            <v>80.5</v>
          </cell>
          <cell r="L329">
            <v>457.5</v>
          </cell>
          <cell r="M329">
            <v>300</v>
          </cell>
        </row>
        <row r="330">
          <cell r="B330" t="str">
            <v>November</v>
          </cell>
        </row>
        <row r="330">
          <cell r="D330" t="str">
            <v>Q4</v>
          </cell>
        </row>
        <row r="330">
          <cell r="F330" t="str">
            <v>Wednesday</v>
          </cell>
          <cell r="G330">
            <v>45.5</v>
          </cell>
          <cell r="H330">
            <v>70.5</v>
          </cell>
          <cell r="I330">
            <v>0</v>
          </cell>
          <cell r="J330">
            <v>0</v>
          </cell>
          <cell r="K330">
            <v>80.5</v>
          </cell>
          <cell r="L330">
            <v>196.5</v>
          </cell>
          <cell r="M330">
            <v>300</v>
          </cell>
        </row>
        <row r="331">
          <cell r="B331" t="str">
            <v>November</v>
          </cell>
        </row>
        <row r="331">
          <cell r="D331" t="str">
            <v>Q4</v>
          </cell>
        </row>
        <row r="331">
          <cell r="F331" t="str">
            <v>Thursday</v>
          </cell>
          <cell r="G331">
            <v>90.5</v>
          </cell>
          <cell r="H331">
            <v>155.5</v>
          </cell>
          <cell r="I331">
            <v>70.5</v>
          </cell>
          <cell r="J331">
            <v>25.5</v>
          </cell>
          <cell r="K331">
            <v>120.5</v>
          </cell>
          <cell r="L331">
            <v>462.5</v>
          </cell>
          <cell r="M331">
            <v>300</v>
          </cell>
        </row>
        <row r="332">
          <cell r="B332" t="str">
            <v>November</v>
          </cell>
        </row>
        <row r="332">
          <cell r="D332" t="str">
            <v>Q4</v>
          </cell>
        </row>
        <row r="332">
          <cell r="F332" t="str">
            <v>Friday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300</v>
          </cell>
        </row>
        <row r="333">
          <cell r="B333" t="str">
            <v>November</v>
          </cell>
        </row>
        <row r="333">
          <cell r="D333" t="str">
            <v>Q4</v>
          </cell>
        </row>
        <row r="333">
          <cell r="F333" t="str">
            <v>Saturday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300</v>
          </cell>
        </row>
        <row r="334">
          <cell r="B334" t="str">
            <v>November</v>
          </cell>
        </row>
        <row r="334">
          <cell r="D334" t="str">
            <v>Q4</v>
          </cell>
        </row>
        <row r="334">
          <cell r="F334" t="str">
            <v>Sunday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300</v>
          </cell>
        </row>
        <row r="335">
          <cell r="B335" t="str">
            <v>November</v>
          </cell>
        </row>
        <row r="335">
          <cell r="D335" t="str">
            <v>Q4</v>
          </cell>
        </row>
        <row r="335">
          <cell r="F335" t="str">
            <v>Monday</v>
          </cell>
          <cell r="G335">
            <v>75.5</v>
          </cell>
          <cell r="H335">
            <v>165.5</v>
          </cell>
          <cell r="I335">
            <v>100.5</v>
          </cell>
          <cell r="J335">
            <v>30.5</v>
          </cell>
          <cell r="K335">
            <v>0</v>
          </cell>
          <cell r="L335">
            <v>372</v>
          </cell>
          <cell r="M335">
            <v>300</v>
          </cell>
        </row>
        <row r="336">
          <cell r="B336" t="str">
            <v>December</v>
          </cell>
        </row>
        <row r="336">
          <cell r="D336" t="str">
            <v>Q4</v>
          </cell>
        </row>
        <row r="336">
          <cell r="F336" t="str">
            <v>Tuesday</v>
          </cell>
          <cell r="G336">
            <v>60.5</v>
          </cell>
          <cell r="H336">
            <v>195.5</v>
          </cell>
          <cell r="I336">
            <v>0</v>
          </cell>
          <cell r="J336">
            <v>0</v>
          </cell>
          <cell r="K336">
            <v>54.5</v>
          </cell>
          <cell r="L336">
            <v>310.5</v>
          </cell>
          <cell r="M336">
            <v>300</v>
          </cell>
        </row>
        <row r="337">
          <cell r="B337" t="str">
            <v>December</v>
          </cell>
        </row>
        <row r="337">
          <cell r="D337" t="str">
            <v>Q4</v>
          </cell>
        </row>
        <row r="337">
          <cell r="F337" t="str">
            <v>Wednesday</v>
          </cell>
          <cell r="G337">
            <v>95.5</v>
          </cell>
          <cell r="H337">
            <v>0</v>
          </cell>
          <cell r="I337">
            <v>130.5</v>
          </cell>
          <cell r="J337">
            <v>10.5</v>
          </cell>
          <cell r="K337">
            <v>90.5</v>
          </cell>
          <cell r="L337">
            <v>327</v>
          </cell>
          <cell r="M337">
            <v>300</v>
          </cell>
        </row>
        <row r="338">
          <cell r="B338" t="str">
            <v>December</v>
          </cell>
        </row>
        <row r="338">
          <cell r="D338" t="str">
            <v>Q4</v>
          </cell>
        </row>
        <row r="338">
          <cell r="F338" t="str">
            <v>Thursday</v>
          </cell>
          <cell r="G338">
            <v>115.5</v>
          </cell>
          <cell r="H338">
            <v>180.5</v>
          </cell>
          <cell r="I338">
            <v>0</v>
          </cell>
          <cell r="J338">
            <v>30.5</v>
          </cell>
          <cell r="K338">
            <v>76.5</v>
          </cell>
          <cell r="L338">
            <v>403</v>
          </cell>
          <cell r="M338">
            <v>300</v>
          </cell>
        </row>
        <row r="339">
          <cell r="B339" t="str">
            <v>December</v>
          </cell>
        </row>
        <row r="339">
          <cell r="D339" t="str">
            <v>Q4</v>
          </cell>
        </row>
        <row r="339">
          <cell r="F339" t="str">
            <v>Friday</v>
          </cell>
          <cell r="G339">
            <v>34.5</v>
          </cell>
          <cell r="H339">
            <v>110.5</v>
          </cell>
          <cell r="I339">
            <v>0</v>
          </cell>
          <cell r="J339">
            <v>0</v>
          </cell>
          <cell r="K339">
            <v>90.5</v>
          </cell>
          <cell r="L339">
            <v>235.5</v>
          </cell>
          <cell r="M339">
            <v>300</v>
          </cell>
        </row>
        <row r="340">
          <cell r="B340" t="str">
            <v>December</v>
          </cell>
        </row>
        <row r="340">
          <cell r="D340" t="str">
            <v>Q4</v>
          </cell>
        </row>
        <row r="340">
          <cell r="F340" t="str">
            <v>Saturday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300</v>
          </cell>
        </row>
        <row r="341">
          <cell r="B341" t="str">
            <v>December</v>
          </cell>
        </row>
        <row r="341">
          <cell r="D341" t="str">
            <v>Q4</v>
          </cell>
        </row>
        <row r="341">
          <cell r="F341" t="str">
            <v>Sunday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300</v>
          </cell>
        </row>
        <row r="342">
          <cell r="B342" t="str">
            <v>December</v>
          </cell>
        </row>
        <row r="342">
          <cell r="D342" t="str">
            <v>Q4</v>
          </cell>
        </row>
        <row r="342">
          <cell r="F342" t="str">
            <v>Monday</v>
          </cell>
          <cell r="G342">
            <v>55.5</v>
          </cell>
          <cell r="H342">
            <v>230.5</v>
          </cell>
          <cell r="I342">
            <v>55.5</v>
          </cell>
          <cell r="J342">
            <v>30.5</v>
          </cell>
          <cell r="K342">
            <v>80.5</v>
          </cell>
          <cell r="L342">
            <v>452.5</v>
          </cell>
          <cell r="M342">
            <v>300</v>
          </cell>
        </row>
        <row r="343">
          <cell r="B343" t="str">
            <v>December</v>
          </cell>
        </row>
        <row r="343">
          <cell r="D343" t="str">
            <v>Q4</v>
          </cell>
        </row>
        <row r="343">
          <cell r="F343" t="str">
            <v>Tuesday</v>
          </cell>
          <cell r="G343">
            <v>50.5</v>
          </cell>
          <cell r="H343">
            <v>200.5</v>
          </cell>
          <cell r="I343">
            <v>115.5</v>
          </cell>
          <cell r="J343">
            <v>15.5</v>
          </cell>
          <cell r="K343">
            <v>0</v>
          </cell>
          <cell r="L343">
            <v>382</v>
          </cell>
          <cell r="M343">
            <v>300</v>
          </cell>
        </row>
        <row r="344">
          <cell r="B344" t="str">
            <v>December</v>
          </cell>
        </row>
        <row r="344">
          <cell r="D344" t="str">
            <v>Q4</v>
          </cell>
        </row>
        <row r="344">
          <cell r="F344" t="str">
            <v>Wednesday</v>
          </cell>
          <cell r="G344">
            <v>85.5</v>
          </cell>
          <cell r="H344">
            <v>175.5</v>
          </cell>
          <cell r="I344">
            <v>110.5</v>
          </cell>
          <cell r="J344">
            <v>15.5</v>
          </cell>
          <cell r="K344">
            <v>65.5</v>
          </cell>
          <cell r="L344">
            <v>452.5</v>
          </cell>
          <cell r="M344">
            <v>300</v>
          </cell>
        </row>
        <row r="345">
          <cell r="B345" t="str">
            <v>December</v>
          </cell>
        </row>
        <row r="345">
          <cell r="D345" t="str">
            <v>Q4</v>
          </cell>
        </row>
        <row r="345">
          <cell r="F345" t="str">
            <v>Thursday</v>
          </cell>
          <cell r="G345">
            <v>45.5</v>
          </cell>
          <cell r="H345">
            <v>90.5</v>
          </cell>
          <cell r="I345">
            <v>0</v>
          </cell>
          <cell r="J345">
            <v>12.5</v>
          </cell>
          <cell r="K345">
            <v>0</v>
          </cell>
          <cell r="L345">
            <v>148.5</v>
          </cell>
          <cell r="M345">
            <v>300</v>
          </cell>
        </row>
        <row r="346">
          <cell r="B346" t="str">
            <v>December</v>
          </cell>
        </row>
        <row r="346">
          <cell r="D346" t="str">
            <v>Q4</v>
          </cell>
        </row>
        <row r="346">
          <cell r="F346" t="str">
            <v>Friday</v>
          </cell>
          <cell r="G346">
            <v>25.5</v>
          </cell>
          <cell r="H346">
            <v>150.5</v>
          </cell>
          <cell r="I346">
            <v>0</v>
          </cell>
          <cell r="J346">
            <v>0</v>
          </cell>
          <cell r="K346">
            <v>35.5</v>
          </cell>
          <cell r="L346">
            <v>211.5</v>
          </cell>
          <cell r="M346">
            <v>300</v>
          </cell>
        </row>
        <row r="347">
          <cell r="B347" t="str">
            <v>December</v>
          </cell>
        </row>
        <row r="347">
          <cell r="D347" t="str">
            <v>Q4</v>
          </cell>
        </row>
        <row r="347">
          <cell r="F347" t="str">
            <v>Saturday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300</v>
          </cell>
        </row>
        <row r="348">
          <cell r="B348" t="str">
            <v>December</v>
          </cell>
        </row>
        <row r="348">
          <cell r="D348" t="str">
            <v>Q4</v>
          </cell>
        </row>
        <row r="348">
          <cell r="F348" t="str">
            <v>Sunday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300</v>
          </cell>
        </row>
        <row r="349">
          <cell r="B349" t="str">
            <v>December</v>
          </cell>
        </row>
        <row r="349">
          <cell r="D349" t="str">
            <v>Q4</v>
          </cell>
        </row>
        <row r="349">
          <cell r="F349" t="str">
            <v>Monday</v>
          </cell>
          <cell r="G349">
            <v>0</v>
          </cell>
          <cell r="H349">
            <v>115.5</v>
          </cell>
          <cell r="I349">
            <v>0</v>
          </cell>
          <cell r="J349">
            <v>30.5</v>
          </cell>
          <cell r="K349">
            <v>0</v>
          </cell>
          <cell r="L349">
            <v>146</v>
          </cell>
          <cell r="M349">
            <v>300</v>
          </cell>
        </row>
        <row r="350">
          <cell r="B350" t="str">
            <v>December</v>
          </cell>
        </row>
        <row r="350">
          <cell r="D350" t="str">
            <v>Q4</v>
          </cell>
        </row>
        <row r="350">
          <cell r="F350" t="str">
            <v>Tuesday</v>
          </cell>
          <cell r="G350">
            <v>90.5</v>
          </cell>
          <cell r="H350">
            <v>210.5</v>
          </cell>
          <cell r="I350">
            <v>0</v>
          </cell>
          <cell r="J350">
            <v>25.5</v>
          </cell>
          <cell r="K350">
            <v>65.5</v>
          </cell>
          <cell r="L350">
            <v>392</v>
          </cell>
          <cell r="M350">
            <v>300</v>
          </cell>
        </row>
        <row r="351">
          <cell r="B351" t="str">
            <v>December</v>
          </cell>
        </row>
        <row r="351">
          <cell r="D351" t="str">
            <v>Q4</v>
          </cell>
        </row>
        <row r="351">
          <cell r="F351" t="str">
            <v>Wednesday</v>
          </cell>
          <cell r="G351">
            <v>65.5</v>
          </cell>
          <cell r="H351">
            <v>220.5</v>
          </cell>
          <cell r="I351">
            <v>0</v>
          </cell>
          <cell r="J351">
            <v>10.5</v>
          </cell>
          <cell r="K351">
            <v>65.5</v>
          </cell>
          <cell r="L351">
            <v>362</v>
          </cell>
          <cell r="M351">
            <v>300</v>
          </cell>
        </row>
        <row r="352">
          <cell r="B352" t="str">
            <v>December</v>
          </cell>
        </row>
        <row r="352">
          <cell r="D352" t="str">
            <v>Q4</v>
          </cell>
        </row>
        <row r="352">
          <cell r="F352" t="str">
            <v>Thursday</v>
          </cell>
          <cell r="G352">
            <v>90.5</v>
          </cell>
          <cell r="H352">
            <v>190.5</v>
          </cell>
          <cell r="I352">
            <v>0</v>
          </cell>
          <cell r="J352">
            <v>0</v>
          </cell>
          <cell r="K352">
            <v>100.5</v>
          </cell>
          <cell r="L352">
            <v>381.5</v>
          </cell>
          <cell r="M352">
            <v>300</v>
          </cell>
        </row>
        <row r="353">
          <cell r="B353" t="str">
            <v>December</v>
          </cell>
        </row>
        <row r="353">
          <cell r="D353" t="str">
            <v>Q4</v>
          </cell>
        </row>
        <row r="353">
          <cell r="F353" t="str">
            <v>Friday</v>
          </cell>
          <cell r="G353">
            <v>60.5</v>
          </cell>
          <cell r="H353">
            <v>235.5</v>
          </cell>
          <cell r="I353">
            <v>0</v>
          </cell>
          <cell r="J353">
            <v>25.5</v>
          </cell>
          <cell r="K353">
            <v>0</v>
          </cell>
          <cell r="L353">
            <v>321.5</v>
          </cell>
          <cell r="M353">
            <v>300</v>
          </cell>
        </row>
        <row r="354">
          <cell r="B354" t="str">
            <v>December</v>
          </cell>
        </row>
        <row r="354">
          <cell r="D354" t="str">
            <v>Q4</v>
          </cell>
        </row>
        <row r="354">
          <cell r="F354" t="str">
            <v>Saturday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300</v>
          </cell>
        </row>
        <row r="355">
          <cell r="B355" t="str">
            <v>December</v>
          </cell>
        </row>
        <row r="355">
          <cell r="D355" t="str">
            <v>Q4</v>
          </cell>
        </row>
        <row r="355">
          <cell r="F355" t="str">
            <v>Sunday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300</v>
          </cell>
        </row>
        <row r="356">
          <cell r="B356" t="str">
            <v>December</v>
          </cell>
        </row>
        <row r="356">
          <cell r="D356" t="str">
            <v>Q4</v>
          </cell>
        </row>
        <row r="356">
          <cell r="F356" t="str">
            <v>Monday</v>
          </cell>
          <cell r="G356">
            <v>60.5</v>
          </cell>
          <cell r="H356">
            <v>230.5</v>
          </cell>
          <cell r="I356">
            <v>0</v>
          </cell>
          <cell r="J356">
            <v>0</v>
          </cell>
          <cell r="K356">
            <v>0</v>
          </cell>
          <cell r="L356">
            <v>291</v>
          </cell>
          <cell r="M356">
            <v>300</v>
          </cell>
        </row>
        <row r="357">
          <cell r="B357" t="str">
            <v>December</v>
          </cell>
        </row>
        <row r="357">
          <cell r="D357" t="str">
            <v>Q4</v>
          </cell>
        </row>
        <row r="357">
          <cell r="F357" t="str">
            <v>Tuesday</v>
          </cell>
          <cell r="G357">
            <v>27.5</v>
          </cell>
          <cell r="H357">
            <v>0</v>
          </cell>
          <cell r="I357">
            <v>90.5</v>
          </cell>
          <cell r="J357">
            <v>0</v>
          </cell>
          <cell r="K357">
            <v>0</v>
          </cell>
          <cell r="L357">
            <v>118</v>
          </cell>
          <cell r="M357">
            <v>300</v>
          </cell>
        </row>
        <row r="358">
          <cell r="B358" t="str">
            <v>December</v>
          </cell>
        </row>
        <row r="358">
          <cell r="D358" t="str">
            <v>Q4</v>
          </cell>
        </row>
        <row r="358">
          <cell r="F358" t="str">
            <v>Wednesday</v>
          </cell>
          <cell r="G358">
            <v>75.5</v>
          </cell>
          <cell r="H358">
            <v>180.5</v>
          </cell>
          <cell r="I358">
            <v>120.5</v>
          </cell>
          <cell r="J358">
            <v>20.5</v>
          </cell>
          <cell r="K358">
            <v>50.5</v>
          </cell>
          <cell r="L358">
            <v>447.5</v>
          </cell>
          <cell r="M358">
            <v>300</v>
          </cell>
        </row>
        <row r="359">
          <cell r="B359" t="str">
            <v>December</v>
          </cell>
        </row>
        <row r="359">
          <cell r="D359" t="str">
            <v>Q4</v>
          </cell>
        </row>
        <row r="359">
          <cell r="F359" t="str">
            <v>Thursday</v>
          </cell>
          <cell r="G359">
            <v>55.5</v>
          </cell>
          <cell r="H359">
            <v>260.5</v>
          </cell>
          <cell r="I359">
            <v>0</v>
          </cell>
          <cell r="J359">
            <v>20.5</v>
          </cell>
          <cell r="K359">
            <v>0</v>
          </cell>
          <cell r="L359">
            <v>336.5</v>
          </cell>
          <cell r="M359">
            <v>300</v>
          </cell>
        </row>
        <row r="360">
          <cell r="B360" t="str">
            <v>December</v>
          </cell>
        </row>
        <row r="360">
          <cell r="D360" t="str">
            <v>Q4</v>
          </cell>
        </row>
        <row r="360">
          <cell r="F360" t="str">
            <v>Friday</v>
          </cell>
          <cell r="G360">
            <v>65.5</v>
          </cell>
          <cell r="H360">
            <v>280.5</v>
          </cell>
          <cell r="I360">
            <v>0</v>
          </cell>
          <cell r="J360">
            <v>10.5</v>
          </cell>
          <cell r="K360">
            <v>0</v>
          </cell>
          <cell r="L360">
            <v>356.5</v>
          </cell>
          <cell r="M360">
            <v>300</v>
          </cell>
        </row>
        <row r="361">
          <cell r="B361" t="str">
            <v>December</v>
          </cell>
        </row>
        <row r="361">
          <cell r="D361" t="str">
            <v>Q4</v>
          </cell>
        </row>
        <row r="361">
          <cell r="F361" t="str">
            <v>Saturday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300</v>
          </cell>
        </row>
        <row r="362">
          <cell r="B362" t="str">
            <v>December</v>
          </cell>
        </row>
        <row r="362">
          <cell r="D362" t="str">
            <v>Q4</v>
          </cell>
        </row>
        <row r="362">
          <cell r="F362" t="str">
            <v>Sunday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300</v>
          </cell>
        </row>
        <row r="363">
          <cell r="B363" t="str">
            <v>December</v>
          </cell>
        </row>
        <row r="363">
          <cell r="D363" t="str">
            <v>Q4</v>
          </cell>
        </row>
        <row r="363">
          <cell r="F363" t="str">
            <v>Monday</v>
          </cell>
          <cell r="G363">
            <v>75.5</v>
          </cell>
          <cell r="H363">
            <v>300.5</v>
          </cell>
          <cell r="I363">
            <v>120.5</v>
          </cell>
          <cell r="J363">
            <v>0</v>
          </cell>
          <cell r="K363">
            <v>80.5</v>
          </cell>
          <cell r="L363">
            <v>577</v>
          </cell>
          <cell r="M363">
            <v>300</v>
          </cell>
        </row>
        <row r="364">
          <cell r="B364" t="str">
            <v>December</v>
          </cell>
        </row>
        <row r="364">
          <cell r="D364" t="str">
            <v>Q4</v>
          </cell>
        </row>
        <row r="364">
          <cell r="F364" t="str">
            <v>Tuesday</v>
          </cell>
          <cell r="G364">
            <v>0</v>
          </cell>
          <cell r="H364">
            <v>140.5</v>
          </cell>
          <cell r="I364">
            <v>110.5</v>
          </cell>
          <cell r="J364">
            <v>30.5</v>
          </cell>
          <cell r="K364">
            <v>50.5</v>
          </cell>
          <cell r="L364">
            <v>332</v>
          </cell>
          <cell r="M364">
            <v>300</v>
          </cell>
        </row>
        <row r="365">
          <cell r="B365" t="str">
            <v>December</v>
          </cell>
        </row>
        <row r="365">
          <cell r="D365" t="str">
            <v>Q4</v>
          </cell>
        </row>
        <row r="365">
          <cell r="F365" t="str">
            <v>Wednesday</v>
          </cell>
          <cell r="G365">
            <v>65.5</v>
          </cell>
          <cell r="H365">
            <v>230.5</v>
          </cell>
          <cell r="I365">
            <v>130.5</v>
          </cell>
          <cell r="J365">
            <v>0</v>
          </cell>
          <cell r="K365">
            <v>40.5</v>
          </cell>
          <cell r="L365">
            <v>467</v>
          </cell>
          <cell r="M365">
            <v>300</v>
          </cell>
        </row>
        <row r="366">
          <cell r="B366" t="str">
            <v>December</v>
          </cell>
        </row>
        <row r="366">
          <cell r="D366" t="str">
            <v>Q4</v>
          </cell>
        </row>
        <row r="366">
          <cell r="F366" t="str">
            <v>Thursday</v>
          </cell>
          <cell r="G366">
            <v>100.5</v>
          </cell>
          <cell r="H366">
            <v>230.5</v>
          </cell>
          <cell r="I366">
            <v>135.5</v>
          </cell>
          <cell r="J366">
            <v>0</v>
          </cell>
          <cell r="K366">
            <v>65.5</v>
          </cell>
          <cell r="L366">
            <v>532</v>
          </cell>
          <cell r="M366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3.8015856482" refreshedBy="andril" recordCount="365">
  <cacheSource type="worksheet">
    <worksheetSource name="IncomeData"/>
  </cacheSource>
  <cacheFields count="14">
    <cacheField name="Date" numFmtId="58">
      <sharedItems containsSemiMixedTypes="0" containsString="0" containsNonDate="0" containsDate="1" minDate="2026-01-01T00:00:00" maxDate="2026-12-31T00:00:00" count="36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Month_No" numFmtId="0">
      <sharedItems containsSemiMixedTypes="0" containsString="0" containsNumber="1" containsInteger="1" minValue="0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Quarter" numFmtId="0">
      <sharedItems count="4">
        <s v="Q1"/>
        <s v="Q2"/>
        <s v="Q3"/>
        <s v="Q4"/>
      </sharedItems>
    </cacheField>
    <cacheField name="Week_No" numFmtId="0">
      <sharedItems containsSemiMixedTypes="0" containsString="0" containsNumber="1" containsInteger="1" minValue="0" maxValue="53" count="5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</cacheField>
    <cacheField name="Day" numFmtId="0">
      <sharedItems count="7">
        <s v="Thursday"/>
        <s v="Friday"/>
        <s v="Saturday"/>
        <s v="Sunday"/>
        <s v="Monday"/>
        <s v="Tuesday"/>
        <s v="Wednesday"/>
      </sharedItems>
    </cacheField>
    <cacheField name="Cash" numFmtId="2">
      <sharedItems containsSemiMixedTypes="0" containsString="0" containsNumber="1" minValue="0" maxValue="145.5" count="33">
        <n v="0"/>
        <n v="60.5"/>
        <n v="70.5"/>
        <n v="55.5"/>
        <n v="75.5"/>
        <n v="25.5"/>
        <n v="50.5"/>
        <n v="40.5"/>
        <n v="59.5"/>
        <n v="30.5"/>
        <n v="90.5"/>
        <n v="65.5"/>
        <n v="56.5"/>
        <n v="100.5"/>
        <n v="27.5"/>
        <n v="45.5"/>
        <n v="24.5"/>
        <n v="125.5"/>
        <n v="95.5"/>
        <n v="130.5"/>
        <n v="34.5"/>
        <n v="80.5"/>
        <n v="85.5"/>
        <n v="105.5"/>
        <n v="35.5"/>
        <n v="57.5"/>
        <n v="110.5"/>
        <n v="120.5"/>
        <n v="89.5"/>
        <n v="67.5"/>
        <n v="145.5"/>
        <n v="115.5"/>
        <n v="68.5"/>
      </sharedItems>
    </cacheField>
    <cacheField name="Eftpos Online" numFmtId="2">
      <sharedItems containsSemiMixedTypes="0" containsString="0" containsNumber="1" minValue="0" maxValue="365.5" count="54">
        <n v="0"/>
        <n v="195.5"/>
        <n v="185.5"/>
        <n v="105.5"/>
        <n v="120.5"/>
        <n v="160.5"/>
        <n v="150.5"/>
        <n v="157.5"/>
        <n v="155.5"/>
        <n v="135.5"/>
        <n v="170.5"/>
        <n v="130.5"/>
        <n v="110.5"/>
        <n v="240.5"/>
        <n v="180.5"/>
        <n v="245.5"/>
        <n v="140.5"/>
        <n v="200.5"/>
        <n v="230.5"/>
        <n v="210.5"/>
        <n v="125.5"/>
        <n v="137.5"/>
        <n v="165.5"/>
        <n v="250.5"/>
        <n v="215.5"/>
        <n v="190.5"/>
        <n v="175.5"/>
        <n v="129.5"/>
        <n v="35.5"/>
        <n v="270.5"/>
        <n v="145.5"/>
        <n v="365.5"/>
        <n v="78.5"/>
        <n v="265.5"/>
        <n v="205.5"/>
        <n v="300.5"/>
        <n v="235.5"/>
        <n v="80.5"/>
        <n v="60.5"/>
        <n v="225.5"/>
        <n v="67.5"/>
        <n v="90.5"/>
        <n v="65.5"/>
        <n v="59.5"/>
        <n v="128.5"/>
        <n v="255.5"/>
        <n v="49.5"/>
        <n v="340.5"/>
        <n v="280.5"/>
        <n v="275.5"/>
        <n v="70.5"/>
        <n v="115.5"/>
        <n v="220.5"/>
        <n v="260.5"/>
      </sharedItems>
    </cacheField>
    <cacheField name="Eftpos Offline" numFmtId="2">
      <sharedItems containsSemiMixedTypes="0" containsString="0" containsNumber="1" minValue="0" maxValue="170.5" count="26">
        <n v="0"/>
        <n v="80.5"/>
        <n v="95.5"/>
        <n v="110.5"/>
        <n v="75.5"/>
        <n v="105.5"/>
        <n v="125.5"/>
        <n v="70.5"/>
        <n v="90.5"/>
        <n v="135.5"/>
        <n v="65.5"/>
        <n v="85.5"/>
        <n v="115.5"/>
        <n v="60.5"/>
        <n v="160.5"/>
        <n v="170.5"/>
        <n v="100.5"/>
        <n v="50.5"/>
        <n v="120.5"/>
        <n v="145.5"/>
        <n v="45.5"/>
        <n v="130.5"/>
        <n v="55.5"/>
        <n v="150.5"/>
        <n v="155.5"/>
        <n v="140.5"/>
      </sharedItems>
    </cacheField>
    <cacheField name="GiftCard" numFmtId="2">
      <sharedItems containsSemiMixedTypes="0" containsString="0" containsNumber="1" minValue="0" maxValue="30.5" count="7">
        <n v="0"/>
        <n v="30.5"/>
        <n v="20.5"/>
        <n v="15.5"/>
        <n v="25.5"/>
        <n v="10.5"/>
        <n v="12.5"/>
      </sharedItems>
    </cacheField>
    <cacheField name="Internet Banking" numFmtId="2">
      <sharedItems containsSemiMixedTypes="0" containsString="0" containsNumber="1" minValue="0" maxValue="200.5" count="30">
        <n v="0"/>
        <n v="100.5"/>
        <n v="50.5"/>
        <n v="65.5"/>
        <n v="36.5"/>
        <n v="30.5"/>
        <n v="49.5"/>
        <n v="40.5"/>
        <n v="67.5"/>
        <n v="34.5"/>
        <n v="10.5"/>
        <n v="35.5"/>
        <n v="46.5"/>
        <n v="80.5"/>
        <n v="56.5"/>
        <n v="78.5"/>
        <n v="37.5"/>
        <n v="190.5"/>
        <n v="45.5"/>
        <n v="87.5"/>
        <n v="60.5"/>
        <n v="90.5"/>
        <n v="200.5"/>
        <n v="120.5"/>
        <n v="57.5"/>
        <n v="70.5"/>
        <n v="130.5"/>
        <n v="20.5"/>
        <n v="54.5"/>
        <n v="76.5"/>
      </sharedItems>
    </cacheField>
    <cacheField name="Total Income" numFmtId="182">
      <sharedItems containsSemiMixedTypes="0" containsString="0" containsNumber="1" minValue="0" maxValue="662.5" count="162">
        <n v="0"/>
        <n v="60.5"/>
        <n v="181.5"/>
        <n v="382"/>
        <n v="397"/>
        <n v="337"/>
        <n v="307"/>
        <n v="381.5"/>
        <n v="302"/>
        <n v="387"/>
        <n v="196.5"/>
        <n v="219.5"/>
        <n v="297"/>
        <n v="286.5"/>
        <n v="336.5"/>
        <n v="277"/>
        <n v="262.5"/>
        <n v="396.5"/>
        <n v="372"/>
        <n v="269.5"/>
        <n v="366.5"/>
        <n v="171"/>
        <n v="386.5"/>
        <n v="357"/>
        <n v="213.5"/>
        <n v="308.5"/>
        <n v="361"/>
        <n v="317"/>
        <n v="537.5"/>
        <n v="211.5"/>
        <n v="332"/>
        <n v="377.5"/>
        <n v="487.5"/>
        <n v="337.5"/>
        <n v="208.5"/>
        <n v="367"/>
        <n v="421.5"/>
        <n v="662.5"/>
        <n v="363.5"/>
        <n v="420"/>
        <n v="527.5"/>
        <n v="193.5"/>
        <n v="567"/>
        <n v="260.5"/>
        <n v="322"/>
        <n v="407.5"/>
        <n v="402"/>
        <n v="452.5"/>
        <n v="367.5"/>
        <n v="377"/>
        <n v="257"/>
        <n v="281.5"/>
        <n v="220.5"/>
        <n v="432.5"/>
        <n v="392"/>
        <n v="241"/>
        <n v="401.5"/>
        <n v="442.5"/>
        <n v="477.5"/>
        <n v="246.5"/>
        <n v="417.5"/>
        <n v="447.5"/>
        <n v="181"/>
        <n v="441.5"/>
        <n v="432"/>
        <n v="317.5"/>
        <n v="427.5"/>
        <n v="457"/>
        <n v="131.5"/>
        <n v="261.5"/>
        <n v="276.5"/>
        <n v="482.5"/>
        <n v="492.5"/>
        <n v="267"/>
        <n v="191.5"/>
        <n v="232"/>
        <n v="607"/>
        <n v="444.5"/>
        <n v="467.5"/>
        <n v="338.5"/>
        <n v="262"/>
        <n v="342.5"/>
        <n v="362"/>
        <n v="293.5"/>
        <n v="311.5"/>
        <n v="227"/>
        <n v="412"/>
        <n v="321.5"/>
        <n v="427"/>
        <n v="327"/>
        <n v="86"/>
        <n v="182"/>
        <n v="382.5"/>
        <n v="326.5"/>
        <n v="602.5"/>
        <n v="206.5"/>
        <n v="487"/>
        <n v="316.5"/>
        <n v="231.5"/>
        <n v="347"/>
        <n v="532"/>
        <n v="422.5"/>
        <n v="442"/>
        <n v="521.5"/>
        <n v="482"/>
        <n v="315.5"/>
        <n v="307.5"/>
        <n v="261"/>
        <n v="141"/>
        <n v="497.5"/>
        <n v="462"/>
        <n v="201.5"/>
        <n v="502.5"/>
        <n v="147"/>
        <n v="186"/>
        <n v="252"/>
        <n v="136.5"/>
        <n v="203.5"/>
        <n v="347.5"/>
        <n v="251.5"/>
        <n v="241.5"/>
        <n v="284.5"/>
        <n v="517"/>
        <n v="472"/>
        <n v="331.5"/>
        <n v="346.5"/>
        <n v="452"/>
        <n v="372.5"/>
        <n v="225.5"/>
        <n v="351.5"/>
        <n v="301.5"/>
        <n v="291.5"/>
        <n v="502"/>
        <n v="457.5"/>
        <n v="162.5"/>
        <n v="256.5"/>
        <n v="284"/>
        <n v="552.5"/>
        <n v="166.5"/>
        <n v="627"/>
        <n v="121.5"/>
        <n v="232.5"/>
        <n v="462.5"/>
        <n v="542.5"/>
        <n v="247"/>
        <n v="562"/>
        <n v="557"/>
        <n v="472.5"/>
        <n v="116.5"/>
        <n v="422"/>
        <n v="275.5"/>
        <n v="199.5"/>
        <n v="310.5"/>
        <n v="403"/>
        <n v="235.5"/>
        <n v="148.5"/>
        <n v="146"/>
        <n v="291"/>
        <n v="118"/>
        <n v="356.5"/>
        <n v="577"/>
        <n v="467"/>
      </sharedItems>
    </cacheField>
    <cacheField name="Target" numFmtId="182">
      <sharedItems containsSemiMixedTypes="0" containsString="0" containsNumber="1" containsInteger="1" minValue="0" maxValue="300" count="1">
        <n v="300"/>
      </sharedItems>
    </cacheField>
    <cacheField name="Target Difference" numFmtId="182">
      <sharedItems containsSemiMixedTypes="0" containsString="0" containsNumber="1" minValue="-239.5" maxValue="362.5" count="162">
        <n v="0"/>
        <n v="-239.5"/>
        <n v="-118.5"/>
        <n v="82"/>
        <n v="97"/>
        <n v="37"/>
        <n v="7"/>
        <n v="81.5"/>
        <n v="2"/>
        <n v="87"/>
        <n v="-103.5"/>
        <n v="-80.5"/>
        <n v="-3"/>
        <n v="-13.5"/>
        <n v="36.5"/>
        <n v="-23"/>
        <n v="-37.5"/>
        <n v="96.5"/>
        <n v="72"/>
        <n v="-30.5"/>
        <n v="66.5"/>
        <n v="-129"/>
        <n v="86.5"/>
        <n v="57"/>
        <n v="-86.5"/>
        <n v="8.5"/>
        <n v="61"/>
        <n v="17"/>
        <n v="237.5"/>
        <n v="-88.5"/>
        <n v="32"/>
        <n v="77.5"/>
        <n v="187.5"/>
        <n v="37.5"/>
        <n v="-91.5"/>
        <n v="67"/>
        <n v="121.5"/>
        <n v="362.5"/>
        <n v="63.5"/>
        <n v="120"/>
        <n v="227.5"/>
        <n v="-106.5"/>
        <n v="267"/>
        <n v="-39.5"/>
        <n v="22"/>
        <n v="107.5"/>
        <n v="102"/>
        <n v="152.5"/>
        <n v="67.5"/>
        <n v="77"/>
        <n v="-43"/>
        <n v="-18.5"/>
        <n v="-79.5"/>
        <n v="132.5"/>
        <n v="92"/>
        <n v="-59"/>
        <n v="101.5"/>
        <n v="142.5"/>
        <n v="177.5"/>
        <n v="-53.5"/>
        <n v="117.5"/>
        <n v="147.5"/>
        <n v="-119"/>
        <n v="141.5"/>
        <n v="132"/>
        <n v="17.5"/>
        <n v="127.5"/>
        <n v="157"/>
        <n v="-168.5"/>
        <n v="-38.5"/>
        <n v="-23.5"/>
        <n v="182.5"/>
        <n v="192.5"/>
        <n v="-33"/>
        <n v="-108.5"/>
        <n v="-68"/>
        <n v="307"/>
        <n v="144.5"/>
        <n v="167.5"/>
        <n v="38.5"/>
        <n v="-38"/>
        <n v="42.5"/>
        <n v="62"/>
        <n v="-6.5"/>
        <n v="11.5"/>
        <n v="-73"/>
        <n v="112"/>
        <n v="21.5"/>
        <n v="127"/>
        <n v="27"/>
        <n v="-214"/>
        <n v="-118"/>
        <n v="82.5"/>
        <n v="26.5"/>
        <n v="302.5"/>
        <n v="-93.5"/>
        <n v="187"/>
        <n v="16.5"/>
        <n v="-68.5"/>
        <n v="47"/>
        <n v="232"/>
        <n v="122.5"/>
        <n v="142"/>
        <n v="221.5"/>
        <n v="182"/>
        <n v="15.5"/>
        <n v="7.5"/>
        <n v="-39"/>
        <n v="-159"/>
        <n v="197.5"/>
        <n v="162"/>
        <n v="-98.5"/>
        <n v="202.5"/>
        <n v="-153"/>
        <n v="-114"/>
        <n v="-48"/>
        <n v="-163.5"/>
        <n v="-96.5"/>
        <n v="47.5"/>
        <n v="-48.5"/>
        <n v="-58.5"/>
        <n v="-15.5"/>
        <n v="217"/>
        <n v="172"/>
        <n v="31.5"/>
        <n v="46.5"/>
        <n v="152"/>
        <n v="72.5"/>
        <n v="-74.5"/>
        <n v="51.5"/>
        <n v="1.5"/>
        <n v="-8.5"/>
        <n v="202"/>
        <n v="157.5"/>
        <n v="-137.5"/>
        <n v="-43.5"/>
        <n v="-16"/>
        <n v="252.5"/>
        <n v="-133.5"/>
        <n v="327"/>
        <n v="-178.5"/>
        <n v="-67.5"/>
        <n v="162.5"/>
        <n v="242.5"/>
        <n v="-53"/>
        <n v="262"/>
        <n v="257"/>
        <n v="172.5"/>
        <n v="-183.5"/>
        <n v="122"/>
        <n v="-24.5"/>
        <n v="-100.5"/>
        <n v="10.5"/>
        <n v="103"/>
        <n v="-64.5"/>
        <n v="-151.5"/>
        <n v="-154"/>
        <n v="-9"/>
        <n v="-182"/>
        <n v="56.5"/>
        <n v="277"/>
        <n v="167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53.841743287" refreshedBy="Excel Services" recordCount="5">
  <cacheSource type="worksheet">
    <worksheetSource name="Table32"/>
  </cacheSource>
  <cacheFields count="2">
    <cacheField name="Payment method" numFmtId="0">
      <sharedItems count="5">
        <s v="Cash"/>
        <s v="Eftpos Online"/>
        <s v="Eftpos Offline"/>
        <s v="GiftCard"/>
        <s v="Internet Banking"/>
      </sharedItems>
    </cacheField>
    <cacheField name="Total" numFmtId="18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1"/>
    <x v="0"/>
    <x v="0"/>
    <x v="0"/>
    <x v="0"/>
    <x v="0"/>
    <x v="0"/>
    <x v="0"/>
    <x v="0"/>
  </r>
  <r>
    <x v="2"/>
    <x v="0"/>
    <x v="0"/>
    <x v="0"/>
    <x v="0"/>
    <x v="2"/>
    <x v="0"/>
    <x v="0"/>
    <x v="0"/>
    <x v="0"/>
    <x v="0"/>
    <x v="0"/>
    <x v="0"/>
    <x v="0"/>
  </r>
  <r>
    <x v="3"/>
    <x v="0"/>
    <x v="0"/>
    <x v="0"/>
    <x v="1"/>
    <x v="3"/>
    <x v="0"/>
    <x v="0"/>
    <x v="0"/>
    <x v="0"/>
    <x v="0"/>
    <x v="0"/>
    <x v="0"/>
    <x v="0"/>
  </r>
  <r>
    <x v="4"/>
    <x v="0"/>
    <x v="0"/>
    <x v="0"/>
    <x v="1"/>
    <x v="4"/>
    <x v="1"/>
    <x v="0"/>
    <x v="0"/>
    <x v="0"/>
    <x v="0"/>
    <x v="1"/>
    <x v="0"/>
    <x v="1"/>
  </r>
  <r>
    <x v="5"/>
    <x v="0"/>
    <x v="0"/>
    <x v="0"/>
    <x v="1"/>
    <x v="5"/>
    <x v="2"/>
    <x v="0"/>
    <x v="1"/>
    <x v="1"/>
    <x v="0"/>
    <x v="2"/>
    <x v="0"/>
    <x v="2"/>
  </r>
  <r>
    <x v="6"/>
    <x v="0"/>
    <x v="0"/>
    <x v="0"/>
    <x v="1"/>
    <x v="6"/>
    <x v="0"/>
    <x v="0"/>
    <x v="0"/>
    <x v="0"/>
    <x v="0"/>
    <x v="0"/>
    <x v="0"/>
    <x v="0"/>
  </r>
  <r>
    <x v="7"/>
    <x v="0"/>
    <x v="0"/>
    <x v="0"/>
    <x v="1"/>
    <x v="0"/>
    <x v="2"/>
    <x v="1"/>
    <x v="2"/>
    <x v="2"/>
    <x v="0"/>
    <x v="3"/>
    <x v="0"/>
    <x v="3"/>
  </r>
  <r>
    <x v="8"/>
    <x v="0"/>
    <x v="0"/>
    <x v="0"/>
    <x v="1"/>
    <x v="1"/>
    <x v="2"/>
    <x v="2"/>
    <x v="3"/>
    <x v="1"/>
    <x v="0"/>
    <x v="4"/>
    <x v="0"/>
    <x v="4"/>
  </r>
  <r>
    <x v="9"/>
    <x v="0"/>
    <x v="0"/>
    <x v="0"/>
    <x v="1"/>
    <x v="2"/>
    <x v="0"/>
    <x v="0"/>
    <x v="0"/>
    <x v="0"/>
    <x v="0"/>
    <x v="0"/>
    <x v="0"/>
    <x v="0"/>
  </r>
  <r>
    <x v="10"/>
    <x v="0"/>
    <x v="0"/>
    <x v="0"/>
    <x v="2"/>
    <x v="3"/>
    <x v="0"/>
    <x v="0"/>
    <x v="0"/>
    <x v="0"/>
    <x v="0"/>
    <x v="0"/>
    <x v="0"/>
    <x v="0"/>
  </r>
  <r>
    <x v="11"/>
    <x v="0"/>
    <x v="0"/>
    <x v="0"/>
    <x v="2"/>
    <x v="4"/>
    <x v="3"/>
    <x v="3"/>
    <x v="4"/>
    <x v="0"/>
    <x v="1"/>
    <x v="5"/>
    <x v="0"/>
    <x v="5"/>
  </r>
  <r>
    <x v="12"/>
    <x v="0"/>
    <x v="0"/>
    <x v="0"/>
    <x v="2"/>
    <x v="5"/>
    <x v="1"/>
    <x v="4"/>
    <x v="5"/>
    <x v="2"/>
    <x v="0"/>
    <x v="6"/>
    <x v="0"/>
    <x v="6"/>
  </r>
  <r>
    <x v="13"/>
    <x v="0"/>
    <x v="0"/>
    <x v="0"/>
    <x v="2"/>
    <x v="6"/>
    <x v="1"/>
    <x v="1"/>
    <x v="6"/>
    <x v="0"/>
    <x v="0"/>
    <x v="7"/>
    <x v="0"/>
    <x v="7"/>
  </r>
  <r>
    <x v="14"/>
    <x v="0"/>
    <x v="0"/>
    <x v="0"/>
    <x v="2"/>
    <x v="0"/>
    <x v="4"/>
    <x v="5"/>
    <x v="0"/>
    <x v="3"/>
    <x v="2"/>
    <x v="8"/>
    <x v="0"/>
    <x v="8"/>
  </r>
  <r>
    <x v="15"/>
    <x v="0"/>
    <x v="0"/>
    <x v="0"/>
    <x v="2"/>
    <x v="1"/>
    <x v="1"/>
    <x v="6"/>
    <x v="6"/>
    <x v="0"/>
    <x v="2"/>
    <x v="9"/>
    <x v="0"/>
    <x v="9"/>
  </r>
  <r>
    <x v="16"/>
    <x v="0"/>
    <x v="0"/>
    <x v="0"/>
    <x v="2"/>
    <x v="2"/>
    <x v="0"/>
    <x v="0"/>
    <x v="0"/>
    <x v="0"/>
    <x v="0"/>
    <x v="0"/>
    <x v="0"/>
    <x v="0"/>
  </r>
  <r>
    <x v="17"/>
    <x v="0"/>
    <x v="0"/>
    <x v="0"/>
    <x v="3"/>
    <x v="3"/>
    <x v="0"/>
    <x v="0"/>
    <x v="0"/>
    <x v="0"/>
    <x v="0"/>
    <x v="0"/>
    <x v="0"/>
    <x v="0"/>
  </r>
  <r>
    <x v="18"/>
    <x v="0"/>
    <x v="0"/>
    <x v="0"/>
    <x v="3"/>
    <x v="4"/>
    <x v="1"/>
    <x v="0"/>
    <x v="7"/>
    <x v="0"/>
    <x v="3"/>
    <x v="10"/>
    <x v="0"/>
    <x v="10"/>
  </r>
  <r>
    <x v="19"/>
    <x v="0"/>
    <x v="0"/>
    <x v="0"/>
    <x v="3"/>
    <x v="5"/>
    <x v="5"/>
    <x v="7"/>
    <x v="0"/>
    <x v="0"/>
    <x v="4"/>
    <x v="11"/>
    <x v="0"/>
    <x v="11"/>
  </r>
  <r>
    <x v="20"/>
    <x v="0"/>
    <x v="0"/>
    <x v="0"/>
    <x v="3"/>
    <x v="6"/>
    <x v="0"/>
    <x v="8"/>
    <x v="8"/>
    <x v="2"/>
    <x v="5"/>
    <x v="12"/>
    <x v="0"/>
    <x v="12"/>
  </r>
  <r>
    <x v="21"/>
    <x v="0"/>
    <x v="0"/>
    <x v="0"/>
    <x v="3"/>
    <x v="0"/>
    <x v="2"/>
    <x v="9"/>
    <x v="1"/>
    <x v="0"/>
    <x v="0"/>
    <x v="13"/>
    <x v="0"/>
    <x v="13"/>
  </r>
  <r>
    <x v="22"/>
    <x v="0"/>
    <x v="0"/>
    <x v="0"/>
    <x v="3"/>
    <x v="1"/>
    <x v="0"/>
    <x v="10"/>
    <x v="9"/>
    <x v="1"/>
    <x v="0"/>
    <x v="14"/>
    <x v="0"/>
    <x v="14"/>
  </r>
  <r>
    <x v="23"/>
    <x v="0"/>
    <x v="0"/>
    <x v="0"/>
    <x v="3"/>
    <x v="2"/>
    <x v="0"/>
    <x v="0"/>
    <x v="0"/>
    <x v="0"/>
    <x v="0"/>
    <x v="0"/>
    <x v="0"/>
    <x v="0"/>
  </r>
  <r>
    <x v="24"/>
    <x v="0"/>
    <x v="0"/>
    <x v="0"/>
    <x v="4"/>
    <x v="3"/>
    <x v="0"/>
    <x v="0"/>
    <x v="0"/>
    <x v="0"/>
    <x v="0"/>
    <x v="0"/>
    <x v="0"/>
    <x v="0"/>
  </r>
  <r>
    <x v="25"/>
    <x v="0"/>
    <x v="0"/>
    <x v="0"/>
    <x v="4"/>
    <x v="4"/>
    <x v="6"/>
    <x v="11"/>
    <x v="1"/>
    <x v="3"/>
    <x v="0"/>
    <x v="15"/>
    <x v="0"/>
    <x v="15"/>
  </r>
  <r>
    <x v="26"/>
    <x v="0"/>
    <x v="0"/>
    <x v="0"/>
    <x v="4"/>
    <x v="5"/>
    <x v="7"/>
    <x v="12"/>
    <x v="10"/>
    <x v="3"/>
    <x v="5"/>
    <x v="16"/>
    <x v="0"/>
    <x v="16"/>
  </r>
  <r>
    <x v="27"/>
    <x v="0"/>
    <x v="0"/>
    <x v="0"/>
    <x v="4"/>
    <x v="6"/>
    <x v="0"/>
    <x v="13"/>
    <x v="6"/>
    <x v="1"/>
    <x v="0"/>
    <x v="17"/>
    <x v="0"/>
    <x v="17"/>
  </r>
  <r>
    <x v="28"/>
    <x v="0"/>
    <x v="0"/>
    <x v="0"/>
    <x v="4"/>
    <x v="0"/>
    <x v="0"/>
    <x v="14"/>
    <x v="10"/>
    <x v="4"/>
    <x v="1"/>
    <x v="18"/>
    <x v="0"/>
    <x v="18"/>
  </r>
  <r>
    <x v="29"/>
    <x v="0"/>
    <x v="0"/>
    <x v="0"/>
    <x v="4"/>
    <x v="1"/>
    <x v="8"/>
    <x v="5"/>
    <x v="0"/>
    <x v="0"/>
    <x v="6"/>
    <x v="19"/>
    <x v="0"/>
    <x v="19"/>
  </r>
  <r>
    <x v="30"/>
    <x v="0"/>
    <x v="0"/>
    <x v="0"/>
    <x v="4"/>
    <x v="2"/>
    <x v="0"/>
    <x v="0"/>
    <x v="0"/>
    <x v="0"/>
    <x v="0"/>
    <x v="0"/>
    <x v="0"/>
    <x v="0"/>
  </r>
  <r>
    <x v="31"/>
    <x v="1"/>
    <x v="1"/>
    <x v="0"/>
    <x v="5"/>
    <x v="3"/>
    <x v="0"/>
    <x v="0"/>
    <x v="0"/>
    <x v="0"/>
    <x v="0"/>
    <x v="0"/>
    <x v="0"/>
    <x v="0"/>
  </r>
  <r>
    <x v="32"/>
    <x v="1"/>
    <x v="1"/>
    <x v="0"/>
    <x v="5"/>
    <x v="4"/>
    <x v="3"/>
    <x v="15"/>
    <x v="10"/>
    <x v="0"/>
    <x v="0"/>
    <x v="20"/>
    <x v="0"/>
    <x v="20"/>
  </r>
  <r>
    <x v="33"/>
    <x v="1"/>
    <x v="1"/>
    <x v="0"/>
    <x v="5"/>
    <x v="5"/>
    <x v="6"/>
    <x v="16"/>
    <x v="7"/>
    <x v="0"/>
    <x v="7"/>
    <x v="8"/>
    <x v="0"/>
    <x v="8"/>
  </r>
  <r>
    <x v="34"/>
    <x v="1"/>
    <x v="1"/>
    <x v="0"/>
    <x v="5"/>
    <x v="6"/>
    <x v="9"/>
    <x v="16"/>
    <x v="0"/>
    <x v="0"/>
    <x v="0"/>
    <x v="21"/>
    <x v="0"/>
    <x v="21"/>
  </r>
  <r>
    <x v="35"/>
    <x v="1"/>
    <x v="1"/>
    <x v="0"/>
    <x v="5"/>
    <x v="0"/>
    <x v="10"/>
    <x v="17"/>
    <x v="2"/>
    <x v="0"/>
    <x v="0"/>
    <x v="22"/>
    <x v="0"/>
    <x v="22"/>
  </r>
  <r>
    <x v="36"/>
    <x v="1"/>
    <x v="1"/>
    <x v="0"/>
    <x v="5"/>
    <x v="1"/>
    <x v="11"/>
    <x v="8"/>
    <x v="11"/>
    <x v="0"/>
    <x v="2"/>
    <x v="23"/>
    <x v="0"/>
    <x v="23"/>
  </r>
  <r>
    <x v="37"/>
    <x v="1"/>
    <x v="1"/>
    <x v="0"/>
    <x v="5"/>
    <x v="2"/>
    <x v="0"/>
    <x v="0"/>
    <x v="0"/>
    <x v="0"/>
    <x v="0"/>
    <x v="0"/>
    <x v="0"/>
    <x v="0"/>
  </r>
  <r>
    <x v="38"/>
    <x v="1"/>
    <x v="1"/>
    <x v="0"/>
    <x v="6"/>
    <x v="3"/>
    <x v="0"/>
    <x v="0"/>
    <x v="0"/>
    <x v="0"/>
    <x v="0"/>
    <x v="0"/>
    <x v="0"/>
    <x v="0"/>
  </r>
  <r>
    <x v="39"/>
    <x v="1"/>
    <x v="1"/>
    <x v="0"/>
    <x v="6"/>
    <x v="4"/>
    <x v="12"/>
    <x v="4"/>
    <x v="0"/>
    <x v="0"/>
    <x v="4"/>
    <x v="24"/>
    <x v="0"/>
    <x v="24"/>
  </r>
  <r>
    <x v="40"/>
    <x v="1"/>
    <x v="1"/>
    <x v="0"/>
    <x v="6"/>
    <x v="5"/>
    <x v="0"/>
    <x v="6"/>
    <x v="8"/>
    <x v="0"/>
    <x v="8"/>
    <x v="25"/>
    <x v="0"/>
    <x v="25"/>
  </r>
  <r>
    <x v="41"/>
    <x v="1"/>
    <x v="1"/>
    <x v="0"/>
    <x v="6"/>
    <x v="6"/>
    <x v="6"/>
    <x v="5"/>
    <x v="12"/>
    <x v="0"/>
    <x v="9"/>
    <x v="26"/>
    <x v="0"/>
    <x v="26"/>
  </r>
  <r>
    <x v="42"/>
    <x v="1"/>
    <x v="1"/>
    <x v="0"/>
    <x v="6"/>
    <x v="0"/>
    <x v="0"/>
    <x v="1"/>
    <x v="2"/>
    <x v="3"/>
    <x v="10"/>
    <x v="27"/>
    <x v="0"/>
    <x v="27"/>
  </r>
  <r>
    <x v="43"/>
    <x v="1"/>
    <x v="1"/>
    <x v="0"/>
    <x v="6"/>
    <x v="1"/>
    <x v="13"/>
    <x v="18"/>
    <x v="4"/>
    <x v="1"/>
    <x v="1"/>
    <x v="28"/>
    <x v="0"/>
    <x v="28"/>
  </r>
  <r>
    <x v="44"/>
    <x v="1"/>
    <x v="1"/>
    <x v="0"/>
    <x v="6"/>
    <x v="2"/>
    <x v="0"/>
    <x v="0"/>
    <x v="0"/>
    <x v="0"/>
    <x v="0"/>
    <x v="0"/>
    <x v="0"/>
    <x v="0"/>
  </r>
  <r>
    <x v="45"/>
    <x v="1"/>
    <x v="1"/>
    <x v="0"/>
    <x v="7"/>
    <x v="3"/>
    <x v="0"/>
    <x v="0"/>
    <x v="0"/>
    <x v="0"/>
    <x v="0"/>
    <x v="0"/>
    <x v="0"/>
    <x v="0"/>
  </r>
  <r>
    <x v="46"/>
    <x v="1"/>
    <x v="1"/>
    <x v="0"/>
    <x v="7"/>
    <x v="4"/>
    <x v="2"/>
    <x v="0"/>
    <x v="4"/>
    <x v="0"/>
    <x v="3"/>
    <x v="29"/>
    <x v="0"/>
    <x v="29"/>
  </r>
  <r>
    <x v="47"/>
    <x v="1"/>
    <x v="1"/>
    <x v="0"/>
    <x v="7"/>
    <x v="5"/>
    <x v="14"/>
    <x v="6"/>
    <x v="0"/>
    <x v="0"/>
    <x v="11"/>
    <x v="24"/>
    <x v="0"/>
    <x v="24"/>
  </r>
  <r>
    <x v="48"/>
    <x v="1"/>
    <x v="1"/>
    <x v="0"/>
    <x v="7"/>
    <x v="6"/>
    <x v="1"/>
    <x v="19"/>
    <x v="0"/>
    <x v="2"/>
    <x v="7"/>
    <x v="30"/>
    <x v="0"/>
    <x v="30"/>
  </r>
  <r>
    <x v="49"/>
    <x v="1"/>
    <x v="1"/>
    <x v="0"/>
    <x v="7"/>
    <x v="0"/>
    <x v="4"/>
    <x v="14"/>
    <x v="13"/>
    <x v="5"/>
    <x v="2"/>
    <x v="31"/>
    <x v="0"/>
    <x v="31"/>
  </r>
  <r>
    <x v="50"/>
    <x v="1"/>
    <x v="1"/>
    <x v="0"/>
    <x v="7"/>
    <x v="1"/>
    <x v="10"/>
    <x v="17"/>
    <x v="9"/>
    <x v="5"/>
    <x v="2"/>
    <x v="32"/>
    <x v="0"/>
    <x v="32"/>
  </r>
  <r>
    <x v="51"/>
    <x v="1"/>
    <x v="1"/>
    <x v="0"/>
    <x v="7"/>
    <x v="2"/>
    <x v="0"/>
    <x v="0"/>
    <x v="0"/>
    <x v="0"/>
    <x v="0"/>
    <x v="0"/>
    <x v="0"/>
    <x v="0"/>
  </r>
  <r>
    <x v="52"/>
    <x v="1"/>
    <x v="1"/>
    <x v="0"/>
    <x v="8"/>
    <x v="3"/>
    <x v="0"/>
    <x v="0"/>
    <x v="0"/>
    <x v="0"/>
    <x v="0"/>
    <x v="0"/>
    <x v="0"/>
    <x v="0"/>
  </r>
  <r>
    <x v="53"/>
    <x v="1"/>
    <x v="1"/>
    <x v="0"/>
    <x v="8"/>
    <x v="4"/>
    <x v="15"/>
    <x v="20"/>
    <x v="1"/>
    <x v="2"/>
    <x v="3"/>
    <x v="33"/>
    <x v="0"/>
    <x v="33"/>
  </r>
  <r>
    <x v="54"/>
    <x v="1"/>
    <x v="1"/>
    <x v="0"/>
    <x v="8"/>
    <x v="5"/>
    <x v="16"/>
    <x v="21"/>
    <x v="0"/>
    <x v="0"/>
    <x v="12"/>
    <x v="34"/>
    <x v="0"/>
    <x v="34"/>
  </r>
  <r>
    <x v="55"/>
    <x v="1"/>
    <x v="1"/>
    <x v="0"/>
    <x v="8"/>
    <x v="6"/>
    <x v="6"/>
    <x v="22"/>
    <x v="7"/>
    <x v="0"/>
    <x v="13"/>
    <x v="35"/>
    <x v="0"/>
    <x v="35"/>
  </r>
  <r>
    <x v="56"/>
    <x v="1"/>
    <x v="1"/>
    <x v="0"/>
    <x v="8"/>
    <x v="0"/>
    <x v="0"/>
    <x v="1"/>
    <x v="6"/>
    <x v="0"/>
    <x v="1"/>
    <x v="36"/>
    <x v="0"/>
    <x v="36"/>
  </r>
  <r>
    <x v="57"/>
    <x v="1"/>
    <x v="1"/>
    <x v="0"/>
    <x v="8"/>
    <x v="1"/>
    <x v="17"/>
    <x v="23"/>
    <x v="14"/>
    <x v="4"/>
    <x v="1"/>
    <x v="37"/>
    <x v="0"/>
    <x v="37"/>
  </r>
  <r>
    <x v="58"/>
    <x v="1"/>
    <x v="1"/>
    <x v="0"/>
    <x v="8"/>
    <x v="2"/>
    <x v="0"/>
    <x v="0"/>
    <x v="0"/>
    <x v="0"/>
    <x v="0"/>
    <x v="0"/>
    <x v="0"/>
    <x v="0"/>
  </r>
  <r>
    <x v="59"/>
    <x v="2"/>
    <x v="2"/>
    <x v="0"/>
    <x v="9"/>
    <x v="3"/>
    <x v="0"/>
    <x v="0"/>
    <x v="0"/>
    <x v="0"/>
    <x v="0"/>
    <x v="0"/>
    <x v="0"/>
    <x v="0"/>
  </r>
  <r>
    <x v="60"/>
    <x v="2"/>
    <x v="2"/>
    <x v="0"/>
    <x v="9"/>
    <x v="4"/>
    <x v="1"/>
    <x v="5"/>
    <x v="4"/>
    <x v="5"/>
    <x v="14"/>
    <x v="38"/>
    <x v="0"/>
    <x v="38"/>
  </r>
  <r>
    <x v="61"/>
    <x v="2"/>
    <x v="2"/>
    <x v="0"/>
    <x v="9"/>
    <x v="5"/>
    <x v="15"/>
    <x v="24"/>
    <x v="1"/>
    <x v="0"/>
    <x v="15"/>
    <x v="39"/>
    <x v="0"/>
    <x v="39"/>
  </r>
  <r>
    <x v="62"/>
    <x v="2"/>
    <x v="2"/>
    <x v="0"/>
    <x v="9"/>
    <x v="6"/>
    <x v="18"/>
    <x v="15"/>
    <x v="2"/>
    <x v="5"/>
    <x v="13"/>
    <x v="40"/>
    <x v="0"/>
    <x v="40"/>
  </r>
  <r>
    <x v="63"/>
    <x v="2"/>
    <x v="2"/>
    <x v="0"/>
    <x v="9"/>
    <x v="0"/>
    <x v="6"/>
    <x v="0"/>
    <x v="5"/>
    <x v="0"/>
    <x v="16"/>
    <x v="41"/>
    <x v="0"/>
    <x v="41"/>
  </r>
  <r>
    <x v="64"/>
    <x v="2"/>
    <x v="2"/>
    <x v="0"/>
    <x v="9"/>
    <x v="1"/>
    <x v="19"/>
    <x v="24"/>
    <x v="15"/>
    <x v="0"/>
    <x v="2"/>
    <x v="42"/>
    <x v="0"/>
    <x v="42"/>
  </r>
  <r>
    <x v="65"/>
    <x v="2"/>
    <x v="2"/>
    <x v="0"/>
    <x v="9"/>
    <x v="2"/>
    <x v="0"/>
    <x v="0"/>
    <x v="0"/>
    <x v="0"/>
    <x v="0"/>
    <x v="0"/>
    <x v="0"/>
    <x v="0"/>
  </r>
  <r>
    <x v="66"/>
    <x v="2"/>
    <x v="2"/>
    <x v="0"/>
    <x v="10"/>
    <x v="3"/>
    <x v="0"/>
    <x v="0"/>
    <x v="0"/>
    <x v="0"/>
    <x v="0"/>
    <x v="0"/>
    <x v="0"/>
    <x v="0"/>
  </r>
  <r>
    <x v="67"/>
    <x v="2"/>
    <x v="2"/>
    <x v="0"/>
    <x v="10"/>
    <x v="4"/>
    <x v="20"/>
    <x v="25"/>
    <x v="0"/>
    <x v="0"/>
    <x v="11"/>
    <x v="43"/>
    <x v="0"/>
    <x v="43"/>
  </r>
  <r>
    <x v="68"/>
    <x v="2"/>
    <x v="2"/>
    <x v="0"/>
    <x v="10"/>
    <x v="5"/>
    <x v="0"/>
    <x v="0"/>
    <x v="0"/>
    <x v="0"/>
    <x v="0"/>
    <x v="0"/>
    <x v="0"/>
    <x v="0"/>
  </r>
  <r>
    <x v="69"/>
    <x v="2"/>
    <x v="2"/>
    <x v="0"/>
    <x v="10"/>
    <x v="6"/>
    <x v="21"/>
    <x v="22"/>
    <x v="13"/>
    <x v="3"/>
    <x v="0"/>
    <x v="44"/>
    <x v="0"/>
    <x v="44"/>
  </r>
  <r>
    <x v="70"/>
    <x v="2"/>
    <x v="2"/>
    <x v="0"/>
    <x v="10"/>
    <x v="0"/>
    <x v="1"/>
    <x v="26"/>
    <x v="4"/>
    <x v="3"/>
    <x v="13"/>
    <x v="45"/>
    <x v="0"/>
    <x v="45"/>
  </r>
  <r>
    <x v="71"/>
    <x v="2"/>
    <x v="2"/>
    <x v="0"/>
    <x v="10"/>
    <x v="1"/>
    <x v="13"/>
    <x v="25"/>
    <x v="16"/>
    <x v="5"/>
    <x v="0"/>
    <x v="46"/>
    <x v="0"/>
    <x v="46"/>
  </r>
  <r>
    <x v="72"/>
    <x v="2"/>
    <x v="2"/>
    <x v="0"/>
    <x v="10"/>
    <x v="2"/>
    <x v="0"/>
    <x v="0"/>
    <x v="0"/>
    <x v="0"/>
    <x v="0"/>
    <x v="0"/>
    <x v="0"/>
    <x v="0"/>
  </r>
  <r>
    <x v="73"/>
    <x v="2"/>
    <x v="2"/>
    <x v="0"/>
    <x v="11"/>
    <x v="3"/>
    <x v="0"/>
    <x v="0"/>
    <x v="0"/>
    <x v="0"/>
    <x v="0"/>
    <x v="0"/>
    <x v="0"/>
    <x v="0"/>
  </r>
  <r>
    <x v="74"/>
    <x v="2"/>
    <x v="2"/>
    <x v="0"/>
    <x v="11"/>
    <x v="4"/>
    <x v="22"/>
    <x v="14"/>
    <x v="3"/>
    <x v="4"/>
    <x v="2"/>
    <x v="47"/>
    <x v="0"/>
    <x v="47"/>
  </r>
  <r>
    <x v="75"/>
    <x v="2"/>
    <x v="2"/>
    <x v="0"/>
    <x v="11"/>
    <x v="5"/>
    <x v="15"/>
    <x v="9"/>
    <x v="11"/>
    <x v="2"/>
    <x v="13"/>
    <x v="48"/>
    <x v="0"/>
    <x v="48"/>
  </r>
  <r>
    <x v="76"/>
    <x v="2"/>
    <x v="2"/>
    <x v="0"/>
    <x v="11"/>
    <x v="6"/>
    <x v="2"/>
    <x v="22"/>
    <x v="13"/>
    <x v="0"/>
    <x v="13"/>
    <x v="49"/>
    <x v="0"/>
    <x v="49"/>
  </r>
  <r>
    <x v="77"/>
    <x v="2"/>
    <x v="2"/>
    <x v="0"/>
    <x v="11"/>
    <x v="0"/>
    <x v="0"/>
    <x v="0"/>
    <x v="0"/>
    <x v="0"/>
    <x v="0"/>
    <x v="0"/>
    <x v="0"/>
    <x v="0"/>
  </r>
  <r>
    <x v="78"/>
    <x v="2"/>
    <x v="2"/>
    <x v="0"/>
    <x v="11"/>
    <x v="1"/>
    <x v="18"/>
    <x v="25"/>
    <x v="3"/>
    <x v="5"/>
    <x v="13"/>
    <x v="32"/>
    <x v="0"/>
    <x v="32"/>
  </r>
  <r>
    <x v="79"/>
    <x v="2"/>
    <x v="2"/>
    <x v="0"/>
    <x v="11"/>
    <x v="2"/>
    <x v="0"/>
    <x v="0"/>
    <x v="0"/>
    <x v="0"/>
    <x v="0"/>
    <x v="0"/>
    <x v="0"/>
    <x v="0"/>
  </r>
  <r>
    <x v="80"/>
    <x v="2"/>
    <x v="2"/>
    <x v="0"/>
    <x v="12"/>
    <x v="3"/>
    <x v="0"/>
    <x v="0"/>
    <x v="0"/>
    <x v="0"/>
    <x v="0"/>
    <x v="0"/>
    <x v="0"/>
    <x v="0"/>
  </r>
  <r>
    <x v="81"/>
    <x v="2"/>
    <x v="2"/>
    <x v="0"/>
    <x v="12"/>
    <x v="4"/>
    <x v="15"/>
    <x v="10"/>
    <x v="16"/>
    <x v="0"/>
    <x v="7"/>
    <x v="23"/>
    <x v="0"/>
    <x v="23"/>
  </r>
  <r>
    <x v="82"/>
    <x v="2"/>
    <x v="2"/>
    <x v="0"/>
    <x v="12"/>
    <x v="5"/>
    <x v="6"/>
    <x v="9"/>
    <x v="17"/>
    <x v="2"/>
    <x v="0"/>
    <x v="50"/>
    <x v="0"/>
    <x v="50"/>
  </r>
  <r>
    <x v="83"/>
    <x v="2"/>
    <x v="2"/>
    <x v="0"/>
    <x v="12"/>
    <x v="6"/>
    <x v="11"/>
    <x v="8"/>
    <x v="13"/>
    <x v="0"/>
    <x v="0"/>
    <x v="51"/>
    <x v="0"/>
    <x v="51"/>
  </r>
  <r>
    <x v="84"/>
    <x v="2"/>
    <x v="2"/>
    <x v="0"/>
    <x v="12"/>
    <x v="0"/>
    <x v="20"/>
    <x v="27"/>
    <x v="0"/>
    <x v="0"/>
    <x v="14"/>
    <x v="52"/>
    <x v="0"/>
    <x v="52"/>
  </r>
  <r>
    <x v="85"/>
    <x v="2"/>
    <x v="2"/>
    <x v="0"/>
    <x v="12"/>
    <x v="1"/>
    <x v="6"/>
    <x v="19"/>
    <x v="16"/>
    <x v="1"/>
    <x v="7"/>
    <x v="53"/>
    <x v="0"/>
    <x v="53"/>
  </r>
  <r>
    <x v="86"/>
    <x v="2"/>
    <x v="2"/>
    <x v="0"/>
    <x v="12"/>
    <x v="2"/>
    <x v="0"/>
    <x v="0"/>
    <x v="0"/>
    <x v="0"/>
    <x v="0"/>
    <x v="0"/>
    <x v="0"/>
    <x v="0"/>
  </r>
  <r>
    <x v="87"/>
    <x v="2"/>
    <x v="2"/>
    <x v="0"/>
    <x v="13"/>
    <x v="3"/>
    <x v="0"/>
    <x v="0"/>
    <x v="0"/>
    <x v="0"/>
    <x v="0"/>
    <x v="0"/>
    <x v="0"/>
    <x v="0"/>
  </r>
  <r>
    <x v="88"/>
    <x v="2"/>
    <x v="2"/>
    <x v="0"/>
    <x v="13"/>
    <x v="4"/>
    <x v="1"/>
    <x v="28"/>
    <x v="8"/>
    <x v="0"/>
    <x v="17"/>
    <x v="49"/>
    <x v="0"/>
    <x v="49"/>
  </r>
  <r>
    <x v="89"/>
    <x v="2"/>
    <x v="2"/>
    <x v="0"/>
    <x v="13"/>
    <x v="5"/>
    <x v="0"/>
    <x v="8"/>
    <x v="3"/>
    <x v="4"/>
    <x v="1"/>
    <x v="54"/>
    <x v="0"/>
    <x v="54"/>
  </r>
  <r>
    <x v="90"/>
    <x v="3"/>
    <x v="3"/>
    <x v="1"/>
    <x v="13"/>
    <x v="6"/>
    <x v="0"/>
    <x v="5"/>
    <x v="1"/>
    <x v="0"/>
    <x v="0"/>
    <x v="55"/>
    <x v="0"/>
    <x v="55"/>
  </r>
  <r>
    <x v="91"/>
    <x v="3"/>
    <x v="3"/>
    <x v="1"/>
    <x v="13"/>
    <x v="0"/>
    <x v="0"/>
    <x v="0"/>
    <x v="0"/>
    <x v="0"/>
    <x v="0"/>
    <x v="0"/>
    <x v="0"/>
    <x v="0"/>
  </r>
  <r>
    <x v="92"/>
    <x v="3"/>
    <x v="3"/>
    <x v="1"/>
    <x v="13"/>
    <x v="1"/>
    <x v="10"/>
    <x v="18"/>
    <x v="0"/>
    <x v="0"/>
    <x v="13"/>
    <x v="56"/>
    <x v="0"/>
    <x v="56"/>
  </r>
  <r>
    <x v="93"/>
    <x v="3"/>
    <x v="3"/>
    <x v="1"/>
    <x v="13"/>
    <x v="2"/>
    <x v="0"/>
    <x v="0"/>
    <x v="0"/>
    <x v="0"/>
    <x v="0"/>
    <x v="0"/>
    <x v="0"/>
    <x v="0"/>
  </r>
  <r>
    <x v="94"/>
    <x v="3"/>
    <x v="3"/>
    <x v="1"/>
    <x v="14"/>
    <x v="3"/>
    <x v="0"/>
    <x v="0"/>
    <x v="0"/>
    <x v="0"/>
    <x v="0"/>
    <x v="0"/>
    <x v="0"/>
    <x v="0"/>
  </r>
  <r>
    <x v="95"/>
    <x v="3"/>
    <x v="3"/>
    <x v="1"/>
    <x v="14"/>
    <x v="4"/>
    <x v="2"/>
    <x v="25"/>
    <x v="13"/>
    <x v="2"/>
    <x v="1"/>
    <x v="57"/>
    <x v="0"/>
    <x v="57"/>
  </r>
  <r>
    <x v="96"/>
    <x v="3"/>
    <x v="3"/>
    <x v="1"/>
    <x v="14"/>
    <x v="5"/>
    <x v="11"/>
    <x v="17"/>
    <x v="18"/>
    <x v="5"/>
    <x v="13"/>
    <x v="58"/>
    <x v="0"/>
    <x v="58"/>
  </r>
  <r>
    <x v="97"/>
    <x v="3"/>
    <x v="3"/>
    <x v="1"/>
    <x v="14"/>
    <x v="6"/>
    <x v="6"/>
    <x v="17"/>
    <x v="3"/>
    <x v="1"/>
    <x v="0"/>
    <x v="54"/>
    <x v="0"/>
    <x v="54"/>
  </r>
  <r>
    <x v="98"/>
    <x v="3"/>
    <x v="3"/>
    <x v="1"/>
    <x v="14"/>
    <x v="0"/>
    <x v="0"/>
    <x v="16"/>
    <x v="8"/>
    <x v="3"/>
    <x v="0"/>
    <x v="59"/>
    <x v="0"/>
    <x v="59"/>
  </r>
  <r>
    <x v="99"/>
    <x v="3"/>
    <x v="3"/>
    <x v="1"/>
    <x v="14"/>
    <x v="1"/>
    <x v="4"/>
    <x v="6"/>
    <x v="6"/>
    <x v="3"/>
    <x v="2"/>
    <x v="60"/>
    <x v="0"/>
    <x v="60"/>
  </r>
  <r>
    <x v="100"/>
    <x v="3"/>
    <x v="3"/>
    <x v="1"/>
    <x v="14"/>
    <x v="2"/>
    <x v="0"/>
    <x v="0"/>
    <x v="0"/>
    <x v="0"/>
    <x v="0"/>
    <x v="0"/>
    <x v="0"/>
    <x v="0"/>
  </r>
  <r>
    <x v="101"/>
    <x v="3"/>
    <x v="3"/>
    <x v="1"/>
    <x v="15"/>
    <x v="3"/>
    <x v="0"/>
    <x v="0"/>
    <x v="0"/>
    <x v="0"/>
    <x v="0"/>
    <x v="0"/>
    <x v="0"/>
    <x v="0"/>
  </r>
  <r>
    <x v="102"/>
    <x v="3"/>
    <x v="3"/>
    <x v="1"/>
    <x v="15"/>
    <x v="4"/>
    <x v="18"/>
    <x v="8"/>
    <x v="10"/>
    <x v="0"/>
    <x v="13"/>
    <x v="4"/>
    <x v="0"/>
    <x v="4"/>
  </r>
  <r>
    <x v="103"/>
    <x v="3"/>
    <x v="3"/>
    <x v="1"/>
    <x v="15"/>
    <x v="5"/>
    <x v="11"/>
    <x v="17"/>
    <x v="16"/>
    <x v="3"/>
    <x v="3"/>
    <x v="61"/>
    <x v="0"/>
    <x v="61"/>
  </r>
  <r>
    <x v="104"/>
    <x v="3"/>
    <x v="3"/>
    <x v="1"/>
    <x v="15"/>
    <x v="6"/>
    <x v="0"/>
    <x v="0"/>
    <x v="0"/>
    <x v="0"/>
    <x v="0"/>
    <x v="0"/>
    <x v="0"/>
    <x v="0"/>
  </r>
  <r>
    <x v="105"/>
    <x v="3"/>
    <x v="3"/>
    <x v="1"/>
    <x v="15"/>
    <x v="0"/>
    <x v="11"/>
    <x v="0"/>
    <x v="12"/>
    <x v="0"/>
    <x v="0"/>
    <x v="62"/>
    <x v="0"/>
    <x v="62"/>
  </r>
  <r>
    <x v="106"/>
    <x v="3"/>
    <x v="3"/>
    <x v="1"/>
    <x v="15"/>
    <x v="1"/>
    <x v="23"/>
    <x v="19"/>
    <x v="6"/>
    <x v="0"/>
    <x v="0"/>
    <x v="63"/>
    <x v="0"/>
    <x v="63"/>
  </r>
  <r>
    <x v="107"/>
    <x v="3"/>
    <x v="3"/>
    <x v="1"/>
    <x v="15"/>
    <x v="2"/>
    <x v="0"/>
    <x v="0"/>
    <x v="0"/>
    <x v="0"/>
    <x v="0"/>
    <x v="0"/>
    <x v="0"/>
    <x v="0"/>
  </r>
  <r>
    <x v="108"/>
    <x v="3"/>
    <x v="3"/>
    <x v="1"/>
    <x v="16"/>
    <x v="3"/>
    <x v="0"/>
    <x v="0"/>
    <x v="0"/>
    <x v="0"/>
    <x v="0"/>
    <x v="0"/>
    <x v="0"/>
    <x v="0"/>
  </r>
  <r>
    <x v="109"/>
    <x v="3"/>
    <x v="3"/>
    <x v="1"/>
    <x v="16"/>
    <x v="4"/>
    <x v="13"/>
    <x v="1"/>
    <x v="18"/>
    <x v="3"/>
    <x v="0"/>
    <x v="64"/>
    <x v="0"/>
    <x v="64"/>
  </r>
  <r>
    <x v="110"/>
    <x v="3"/>
    <x v="3"/>
    <x v="1"/>
    <x v="16"/>
    <x v="5"/>
    <x v="3"/>
    <x v="5"/>
    <x v="2"/>
    <x v="0"/>
    <x v="3"/>
    <x v="49"/>
    <x v="0"/>
    <x v="49"/>
  </r>
  <r>
    <x v="111"/>
    <x v="3"/>
    <x v="3"/>
    <x v="1"/>
    <x v="16"/>
    <x v="6"/>
    <x v="1"/>
    <x v="11"/>
    <x v="1"/>
    <x v="3"/>
    <x v="5"/>
    <x v="65"/>
    <x v="0"/>
    <x v="65"/>
  </r>
  <r>
    <x v="112"/>
    <x v="3"/>
    <x v="3"/>
    <x v="1"/>
    <x v="16"/>
    <x v="0"/>
    <x v="7"/>
    <x v="25"/>
    <x v="5"/>
    <x v="5"/>
    <x v="13"/>
    <x v="66"/>
    <x v="0"/>
    <x v="66"/>
  </r>
  <r>
    <x v="113"/>
    <x v="3"/>
    <x v="3"/>
    <x v="1"/>
    <x v="16"/>
    <x v="1"/>
    <x v="21"/>
    <x v="29"/>
    <x v="4"/>
    <x v="1"/>
    <x v="0"/>
    <x v="67"/>
    <x v="0"/>
    <x v="67"/>
  </r>
  <r>
    <x v="114"/>
    <x v="3"/>
    <x v="3"/>
    <x v="1"/>
    <x v="16"/>
    <x v="2"/>
    <x v="0"/>
    <x v="0"/>
    <x v="0"/>
    <x v="0"/>
    <x v="0"/>
    <x v="0"/>
    <x v="0"/>
    <x v="0"/>
  </r>
  <r>
    <x v="115"/>
    <x v="3"/>
    <x v="3"/>
    <x v="1"/>
    <x v="17"/>
    <x v="3"/>
    <x v="0"/>
    <x v="0"/>
    <x v="0"/>
    <x v="0"/>
    <x v="0"/>
    <x v="0"/>
    <x v="0"/>
    <x v="0"/>
  </r>
  <r>
    <x v="116"/>
    <x v="3"/>
    <x v="3"/>
    <x v="1"/>
    <x v="17"/>
    <x v="4"/>
    <x v="2"/>
    <x v="30"/>
    <x v="8"/>
    <x v="2"/>
    <x v="2"/>
    <x v="31"/>
    <x v="0"/>
    <x v="31"/>
  </r>
  <r>
    <x v="117"/>
    <x v="3"/>
    <x v="3"/>
    <x v="1"/>
    <x v="17"/>
    <x v="5"/>
    <x v="3"/>
    <x v="0"/>
    <x v="0"/>
    <x v="5"/>
    <x v="3"/>
    <x v="68"/>
    <x v="0"/>
    <x v="68"/>
  </r>
  <r>
    <x v="118"/>
    <x v="3"/>
    <x v="3"/>
    <x v="1"/>
    <x v="17"/>
    <x v="6"/>
    <x v="23"/>
    <x v="0"/>
    <x v="6"/>
    <x v="1"/>
    <x v="0"/>
    <x v="69"/>
    <x v="0"/>
    <x v="69"/>
  </r>
  <r>
    <x v="119"/>
    <x v="3"/>
    <x v="3"/>
    <x v="1"/>
    <x v="17"/>
    <x v="0"/>
    <x v="15"/>
    <x v="2"/>
    <x v="11"/>
    <x v="0"/>
    <x v="2"/>
    <x v="35"/>
    <x v="0"/>
    <x v="35"/>
  </r>
  <r>
    <x v="120"/>
    <x v="4"/>
    <x v="4"/>
    <x v="1"/>
    <x v="17"/>
    <x v="1"/>
    <x v="4"/>
    <x v="6"/>
    <x v="0"/>
    <x v="0"/>
    <x v="2"/>
    <x v="70"/>
    <x v="0"/>
    <x v="70"/>
  </r>
  <r>
    <x v="121"/>
    <x v="4"/>
    <x v="4"/>
    <x v="1"/>
    <x v="17"/>
    <x v="2"/>
    <x v="0"/>
    <x v="0"/>
    <x v="0"/>
    <x v="0"/>
    <x v="0"/>
    <x v="0"/>
    <x v="0"/>
    <x v="0"/>
  </r>
  <r>
    <x v="122"/>
    <x v="4"/>
    <x v="4"/>
    <x v="1"/>
    <x v="18"/>
    <x v="3"/>
    <x v="0"/>
    <x v="0"/>
    <x v="0"/>
    <x v="0"/>
    <x v="0"/>
    <x v="0"/>
    <x v="0"/>
    <x v="0"/>
  </r>
  <r>
    <x v="123"/>
    <x v="4"/>
    <x v="4"/>
    <x v="1"/>
    <x v="18"/>
    <x v="4"/>
    <x v="1"/>
    <x v="17"/>
    <x v="12"/>
    <x v="4"/>
    <x v="13"/>
    <x v="71"/>
    <x v="0"/>
    <x v="71"/>
  </r>
  <r>
    <x v="124"/>
    <x v="4"/>
    <x v="4"/>
    <x v="1"/>
    <x v="18"/>
    <x v="5"/>
    <x v="24"/>
    <x v="11"/>
    <x v="0"/>
    <x v="0"/>
    <x v="18"/>
    <x v="29"/>
    <x v="0"/>
    <x v="29"/>
  </r>
  <r>
    <x v="125"/>
    <x v="4"/>
    <x v="4"/>
    <x v="1"/>
    <x v="18"/>
    <x v="6"/>
    <x v="23"/>
    <x v="18"/>
    <x v="10"/>
    <x v="4"/>
    <x v="3"/>
    <x v="72"/>
    <x v="0"/>
    <x v="72"/>
  </r>
  <r>
    <x v="126"/>
    <x v="4"/>
    <x v="4"/>
    <x v="1"/>
    <x v="18"/>
    <x v="0"/>
    <x v="0"/>
    <x v="0"/>
    <x v="0"/>
    <x v="0"/>
    <x v="0"/>
    <x v="0"/>
    <x v="0"/>
    <x v="0"/>
  </r>
  <r>
    <x v="127"/>
    <x v="4"/>
    <x v="4"/>
    <x v="1"/>
    <x v="18"/>
    <x v="1"/>
    <x v="0"/>
    <x v="30"/>
    <x v="13"/>
    <x v="2"/>
    <x v="7"/>
    <x v="73"/>
    <x v="0"/>
    <x v="73"/>
  </r>
  <r>
    <x v="128"/>
    <x v="4"/>
    <x v="4"/>
    <x v="1"/>
    <x v="18"/>
    <x v="2"/>
    <x v="0"/>
    <x v="0"/>
    <x v="0"/>
    <x v="0"/>
    <x v="0"/>
    <x v="0"/>
    <x v="0"/>
    <x v="0"/>
  </r>
  <r>
    <x v="129"/>
    <x v="4"/>
    <x v="4"/>
    <x v="1"/>
    <x v="19"/>
    <x v="3"/>
    <x v="0"/>
    <x v="0"/>
    <x v="0"/>
    <x v="0"/>
    <x v="0"/>
    <x v="0"/>
    <x v="0"/>
    <x v="0"/>
  </r>
  <r>
    <x v="130"/>
    <x v="4"/>
    <x v="4"/>
    <x v="1"/>
    <x v="19"/>
    <x v="4"/>
    <x v="15"/>
    <x v="0"/>
    <x v="2"/>
    <x v="0"/>
    <x v="2"/>
    <x v="74"/>
    <x v="0"/>
    <x v="74"/>
  </r>
  <r>
    <x v="131"/>
    <x v="4"/>
    <x v="4"/>
    <x v="1"/>
    <x v="19"/>
    <x v="5"/>
    <x v="6"/>
    <x v="4"/>
    <x v="4"/>
    <x v="0"/>
    <x v="0"/>
    <x v="59"/>
    <x v="0"/>
    <x v="59"/>
  </r>
  <r>
    <x v="132"/>
    <x v="4"/>
    <x v="4"/>
    <x v="1"/>
    <x v="19"/>
    <x v="6"/>
    <x v="2"/>
    <x v="0"/>
    <x v="10"/>
    <x v="3"/>
    <x v="13"/>
    <x v="75"/>
    <x v="0"/>
    <x v="75"/>
  </r>
  <r>
    <x v="133"/>
    <x v="4"/>
    <x v="4"/>
    <x v="1"/>
    <x v="19"/>
    <x v="0"/>
    <x v="0"/>
    <x v="0"/>
    <x v="0"/>
    <x v="0"/>
    <x v="0"/>
    <x v="0"/>
    <x v="0"/>
    <x v="0"/>
  </r>
  <r>
    <x v="134"/>
    <x v="4"/>
    <x v="4"/>
    <x v="1"/>
    <x v="19"/>
    <x v="1"/>
    <x v="0"/>
    <x v="31"/>
    <x v="19"/>
    <x v="3"/>
    <x v="13"/>
    <x v="76"/>
    <x v="0"/>
    <x v="76"/>
  </r>
  <r>
    <x v="135"/>
    <x v="4"/>
    <x v="4"/>
    <x v="1"/>
    <x v="19"/>
    <x v="2"/>
    <x v="0"/>
    <x v="0"/>
    <x v="0"/>
    <x v="0"/>
    <x v="0"/>
    <x v="0"/>
    <x v="0"/>
    <x v="0"/>
  </r>
  <r>
    <x v="136"/>
    <x v="4"/>
    <x v="4"/>
    <x v="1"/>
    <x v="20"/>
    <x v="3"/>
    <x v="0"/>
    <x v="0"/>
    <x v="0"/>
    <x v="0"/>
    <x v="0"/>
    <x v="0"/>
    <x v="0"/>
    <x v="0"/>
  </r>
  <r>
    <x v="137"/>
    <x v="4"/>
    <x v="4"/>
    <x v="1"/>
    <x v="20"/>
    <x v="4"/>
    <x v="1"/>
    <x v="1"/>
    <x v="4"/>
    <x v="4"/>
    <x v="19"/>
    <x v="77"/>
    <x v="0"/>
    <x v="77"/>
  </r>
  <r>
    <x v="138"/>
    <x v="4"/>
    <x v="4"/>
    <x v="1"/>
    <x v="20"/>
    <x v="5"/>
    <x v="0"/>
    <x v="0"/>
    <x v="0"/>
    <x v="0"/>
    <x v="0"/>
    <x v="0"/>
    <x v="0"/>
    <x v="0"/>
  </r>
  <r>
    <x v="139"/>
    <x v="4"/>
    <x v="4"/>
    <x v="1"/>
    <x v="20"/>
    <x v="6"/>
    <x v="0"/>
    <x v="0"/>
    <x v="0"/>
    <x v="0"/>
    <x v="0"/>
    <x v="0"/>
    <x v="0"/>
    <x v="0"/>
  </r>
  <r>
    <x v="140"/>
    <x v="4"/>
    <x v="4"/>
    <x v="1"/>
    <x v="20"/>
    <x v="0"/>
    <x v="10"/>
    <x v="25"/>
    <x v="16"/>
    <x v="2"/>
    <x v="3"/>
    <x v="78"/>
    <x v="0"/>
    <x v="78"/>
  </r>
  <r>
    <x v="141"/>
    <x v="4"/>
    <x v="4"/>
    <x v="1"/>
    <x v="20"/>
    <x v="1"/>
    <x v="10"/>
    <x v="14"/>
    <x v="0"/>
    <x v="0"/>
    <x v="8"/>
    <x v="79"/>
    <x v="0"/>
    <x v="79"/>
  </r>
  <r>
    <x v="142"/>
    <x v="4"/>
    <x v="4"/>
    <x v="1"/>
    <x v="20"/>
    <x v="2"/>
    <x v="0"/>
    <x v="0"/>
    <x v="0"/>
    <x v="0"/>
    <x v="0"/>
    <x v="0"/>
    <x v="0"/>
    <x v="0"/>
  </r>
  <r>
    <x v="143"/>
    <x v="4"/>
    <x v="4"/>
    <x v="1"/>
    <x v="21"/>
    <x v="3"/>
    <x v="0"/>
    <x v="0"/>
    <x v="0"/>
    <x v="0"/>
    <x v="0"/>
    <x v="0"/>
    <x v="0"/>
    <x v="0"/>
  </r>
  <r>
    <x v="144"/>
    <x v="4"/>
    <x v="4"/>
    <x v="1"/>
    <x v="21"/>
    <x v="4"/>
    <x v="1"/>
    <x v="6"/>
    <x v="1"/>
    <x v="0"/>
    <x v="5"/>
    <x v="44"/>
    <x v="0"/>
    <x v="44"/>
  </r>
  <r>
    <x v="145"/>
    <x v="4"/>
    <x v="4"/>
    <x v="1"/>
    <x v="21"/>
    <x v="5"/>
    <x v="7"/>
    <x v="8"/>
    <x v="0"/>
    <x v="4"/>
    <x v="7"/>
    <x v="80"/>
    <x v="0"/>
    <x v="80"/>
  </r>
  <r>
    <x v="146"/>
    <x v="4"/>
    <x v="4"/>
    <x v="1"/>
    <x v="21"/>
    <x v="6"/>
    <x v="11"/>
    <x v="4"/>
    <x v="1"/>
    <x v="3"/>
    <x v="20"/>
    <x v="81"/>
    <x v="0"/>
    <x v="81"/>
  </r>
  <r>
    <x v="147"/>
    <x v="4"/>
    <x v="4"/>
    <x v="1"/>
    <x v="21"/>
    <x v="0"/>
    <x v="15"/>
    <x v="14"/>
    <x v="20"/>
    <x v="0"/>
    <x v="21"/>
    <x v="82"/>
    <x v="0"/>
    <x v="82"/>
  </r>
  <r>
    <x v="148"/>
    <x v="4"/>
    <x v="4"/>
    <x v="1"/>
    <x v="21"/>
    <x v="1"/>
    <x v="25"/>
    <x v="10"/>
    <x v="0"/>
    <x v="0"/>
    <x v="3"/>
    <x v="83"/>
    <x v="0"/>
    <x v="83"/>
  </r>
  <r>
    <x v="149"/>
    <x v="4"/>
    <x v="4"/>
    <x v="1"/>
    <x v="21"/>
    <x v="2"/>
    <x v="0"/>
    <x v="0"/>
    <x v="0"/>
    <x v="0"/>
    <x v="0"/>
    <x v="0"/>
    <x v="0"/>
    <x v="0"/>
  </r>
  <r>
    <x v="150"/>
    <x v="4"/>
    <x v="4"/>
    <x v="1"/>
    <x v="22"/>
    <x v="3"/>
    <x v="0"/>
    <x v="0"/>
    <x v="0"/>
    <x v="0"/>
    <x v="0"/>
    <x v="0"/>
    <x v="0"/>
    <x v="0"/>
  </r>
  <r>
    <x v="151"/>
    <x v="5"/>
    <x v="5"/>
    <x v="1"/>
    <x v="22"/>
    <x v="4"/>
    <x v="0"/>
    <x v="14"/>
    <x v="10"/>
    <x v="0"/>
    <x v="3"/>
    <x v="84"/>
    <x v="0"/>
    <x v="84"/>
  </r>
  <r>
    <x v="152"/>
    <x v="5"/>
    <x v="5"/>
    <x v="1"/>
    <x v="22"/>
    <x v="5"/>
    <x v="4"/>
    <x v="0"/>
    <x v="1"/>
    <x v="0"/>
    <x v="7"/>
    <x v="10"/>
    <x v="0"/>
    <x v="10"/>
  </r>
  <r>
    <x v="153"/>
    <x v="5"/>
    <x v="5"/>
    <x v="1"/>
    <x v="22"/>
    <x v="6"/>
    <x v="6"/>
    <x v="20"/>
    <x v="0"/>
    <x v="2"/>
    <x v="5"/>
    <x v="85"/>
    <x v="0"/>
    <x v="85"/>
  </r>
  <r>
    <x v="154"/>
    <x v="5"/>
    <x v="5"/>
    <x v="1"/>
    <x v="22"/>
    <x v="0"/>
    <x v="18"/>
    <x v="1"/>
    <x v="10"/>
    <x v="0"/>
    <x v="1"/>
    <x v="67"/>
    <x v="0"/>
    <x v="67"/>
  </r>
  <r>
    <x v="155"/>
    <x v="5"/>
    <x v="5"/>
    <x v="1"/>
    <x v="22"/>
    <x v="1"/>
    <x v="13"/>
    <x v="6"/>
    <x v="21"/>
    <x v="1"/>
    <x v="0"/>
    <x v="86"/>
    <x v="0"/>
    <x v="86"/>
  </r>
  <r>
    <x v="156"/>
    <x v="5"/>
    <x v="5"/>
    <x v="1"/>
    <x v="22"/>
    <x v="2"/>
    <x v="0"/>
    <x v="0"/>
    <x v="0"/>
    <x v="0"/>
    <x v="0"/>
    <x v="0"/>
    <x v="0"/>
    <x v="0"/>
  </r>
  <r>
    <x v="157"/>
    <x v="5"/>
    <x v="5"/>
    <x v="1"/>
    <x v="23"/>
    <x v="3"/>
    <x v="0"/>
    <x v="0"/>
    <x v="0"/>
    <x v="0"/>
    <x v="0"/>
    <x v="0"/>
    <x v="0"/>
    <x v="0"/>
  </r>
  <r>
    <x v="158"/>
    <x v="5"/>
    <x v="5"/>
    <x v="1"/>
    <x v="23"/>
    <x v="4"/>
    <x v="0"/>
    <x v="5"/>
    <x v="13"/>
    <x v="0"/>
    <x v="1"/>
    <x v="87"/>
    <x v="0"/>
    <x v="87"/>
  </r>
  <r>
    <x v="159"/>
    <x v="5"/>
    <x v="5"/>
    <x v="1"/>
    <x v="23"/>
    <x v="5"/>
    <x v="26"/>
    <x v="17"/>
    <x v="5"/>
    <x v="5"/>
    <x v="0"/>
    <x v="88"/>
    <x v="0"/>
    <x v="88"/>
  </r>
  <r>
    <x v="160"/>
    <x v="5"/>
    <x v="5"/>
    <x v="1"/>
    <x v="23"/>
    <x v="6"/>
    <x v="1"/>
    <x v="24"/>
    <x v="0"/>
    <x v="2"/>
    <x v="5"/>
    <x v="89"/>
    <x v="0"/>
    <x v="89"/>
  </r>
  <r>
    <x v="161"/>
    <x v="5"/>
    <x v="5"/>
    <x v="1"/>
    <x v="23"/>
    <x v="0"/>
    <x v="6"/>
    <x v="16"/>
    <x v="8"/>
    <x v="1"/>
    <x v="5"/>
    <x v="81"/>
    <x v="0"/>
    <x v="81"/>
  </r>
  <r>
    <x v="162"/>
    <x v="5"/>
    <x v="5"/>
    <x v="1"/>
    <x v="23"/>
    <x v="1"/>
    <x v="2"/>
    <x v="0"/>
    <x v="0"/>
    <x v="3"/>
    <x v="0"/>
    <x v="90"/>
    <x v="0"/>
    <x v="90"/>
  </r>
  <r>
    <x v="163"/>
    <x v="5"/>
    <x v="5"/>
    <x v="1"/>
    <x v="23"/>
    <x v="2"/>
    <x v="0"/>
    <x v="0"/>
    <x v="0"/>
    <x v="0"/>
    <x v="0"/>
    <x v="0"/>
    <x v="0"/>
    <x v="0"/>
  </r>
  <r>
    <x v="164"/>
    <x v="5"/>
    <x v="5"/>
    <x v="1"/>
    <x v="24"/>
    <x v="3"/>
    <x v="0"/>
    <x v="0"/>
    <x v="0"/>
    <x v="0"/>
    <x v="0"/>
    <x v="0"/>
    <x v="0"/>
    <x v="0"/>
  </r>
  <r>
    <x v="165"/>
    <x v="5"/>
    <x v="5"/>
    <x v="1"/>
    <x v="24"/>
    <x v="4"/>
    <x v="11"/>
    <x v="0"/>
    <x v="13"/>
    <x v="4"/>
    <x v="5"/>
    <x v="91"/>
    <x v="0"/>
    <x v="91"/>
  </r>
  <r>
    <x v="166"/>
    <x v="5"/>
    <x v="5"/>
    <x v="1"/>
    <x v="24"/>
    <x v="5"/>
    <x v="2"/>
    <x v="6"/>
    <x v="5"/>
    <x v="3"/>
    <x v="7"/>
    <x v="92"/>
    <x v="0"/>
    <x v="92"/>
  </r>
  <r>
    <x v="167"/>
    <x v="5"/>
    <x v="5"/>
    <x v="1"/>
    <x v="24"/>
    <x v="6"/>
    <x v="21"/>
    <x v="25"/>
    <x v="22"/>
    <x v="0"/>
    <x v="0"/>
    <x v="93"/>
    <x v="0"/>
    <x v="93"/>
  </r>
  <r>
    <x v="168"/>
    <x v="5"/>
    <x v="5"/>
    <x v="1"/>
    <x v="24"/>
    <x v="0"/>
    <x v="0"/>
    <x v="0"/>
    <x v="0"/>
    <x v="0"/>
    <x v="0"/>
    <x v="0"/>
    <x v="0"/>
    <x v="0"/>
  </r>
  <r>
    <x v="169"/>
    <x v="5"/>
    <x v="5"/>
    <x v="1"/>
    <x v="24"/>
    <x v="1"/>
    <x v="17"/>
    <x v="2"/>
    <x v="14"/>
    <x v="1"/>
    <x v="1"/>
    <x v="94"/>
    <x v="0"/>
    <x v="94"/>
  </r>
  <r>
    <x v="170"/>
    <x v="5"/>
    <x v="5"/>
    <x v="1"/>
    <x v="24"/>
    <x v="2"/>
    <x v="0"/>
    <x v="0"/>
    <x v="0"/>
    <x v="0"/>
    <x v="0"/>
    <x v="0"/>
    <x v="0"/>
    <x v="0"/>
  </r>
  <r>
    <x v="171"/>
    <x v="5"/>
    <x v="5"/>
    <x v="1"/>
    <x v="25"/>
    <x v="3"/>
    <x v="0"/>
    <x v="0"/>
    <x v="0"/>
    <x v="0"/>
    <x v="0"/>
    <x v="0"/>
    <x v="0"/>
    <x v="0"/>
  </r>
  <r>
    <x v="172"/>
    <x v="5"/>
    <x v="5"/>
    <x v="1"/>
    <x v="25"/>
    <x v="4"/>
    <x v="0"/>
    <x v="12"/>
    <x v="11"/>
    <x v="5"/>
    <x v="0"/>
    <x v="95"/>
    <x v="0"/>
    <x v="95"/>
  </r>
  <r>
    <x v="173"/>
    <x v="5"/>
    <x v="5"/>
    <x v="1"/>
    <x v="25"/>
    <x v="5"/>
    <x v="0"/>
    <x v="20"/>
    <x v="22"/>
    <x v="0"/>
    <x v="13"/>
    <x v="69"/>
    <x v="0"/>
    <x v="69"/>
  </r>
  <r>
    <x v="174"/>
    <x v="5"/>
    <x v="5"/>
    <x v="1"/>
    <x v="25"/>
    <x v="6"/>
    <x v="0"/>
    <x v="0"/>
    <x v="0"/>
    <x v="0"/>
    <x v="0"/>
    <x v="0"/>
    <x v="0"/>
    <x v="0"/>
  </r>
  <r>
    <x v="175"/>
    <x v="5"/>
    <x v="5"/>
    <x v="1"/>
    <x v="25"/>
    <x v="0"/>
    <x v="0"/>
    <x v="30"/>
    <x v="11"/>
    <x v="5"/>
    <x v="13"/>
    <x v="44"/>
    <x v="0"/>
    <x v="44"/>
  </r>
  <r>
    <x v="176"/>
    <x v="5"/>
    <x v="5"/>
    <x v="1"/>
    <x v="25"/>
    <x v="1"/>
    <x v="0"/>
    <x v="29"/>
    <x v="11"/>
    <x v="1"/>
    <x v="1"/>
    <x v="96"/>
    <x v="0"/>
    <x v="96"/>
  </r>
  <r>
    <x v="177"/>
    <x v="5"/>
    <x v="5"/>
    <x v="1"/>
    <x v="25"/>
    <x v="2"/>
    <x v="0"/>
    <x v="0"/>
    <x v="0"/>
    <x v="0"/>
    <x v="0"/>
    <x v="0"/>
    <x v="0"/>
    <x v="0"/>
  </r>
  <r>
    <x v="178"/>
    <x v="5"/>
    <x v="5"/>
    <x v="1"/>
    <x v="26"/>
    <x v="3"/>
    <x v="0"/>
    <x v="0"/>
    <x v="0"/>
    <x v="0"/>
    <x v="0"/>
    <x v="0"/>
    <x v="0"/>
    <x v="0"/>
  </r>
  <r>
    <x v="179"/>
    <x v="5"/>
    <x v="5"/>
    <x v="1"/>
    <x v="26"/>
    <x v="4"/>
    <x v="4"/>
    <x v="26"/>
    <x v="0"/>
    <x v="0"/>
    <x v="3"/>
    <x v="97"/>
    <x v="0"/>
    <x v="97"/>
  </r>
  <r>
    <x v="180"/>
    <x v="5"/>
    <x v="5"/>
    <x v="1"/>
    <x v="26"/>
    <x v="5"/>
    <x v="0"/>
    <x v="14"/>
    <x v="0"/>
    <x v="5"/>
    <x v="7"/>
    <x v="98"/>
    <x v="0"/>
    <x v="98"/>
  </r>
  <r>
    <x v="181"/>
    <x v="6"/>
    <x v="6"/>
    <x v="2"/>
    <x v="26"/>
    <x v="6"/>
    <x v="20"/>
    <x v="32"/>
    <x v="0"/>
    <x v="0"/>
    <x v="13"/>
    <x v="41"/>
    <x v="0"/>
    <x v="41"/>
  </r>
  <r>
    <x v="182"/>
    <x v="6"/>
    <x v="6"/>
    <x v="2"/>
    <x v="26"/>
    <x v="0"/>
    <x v="18"/>
    <x v="9"/>
    <x v="5"/>
    <x v="5"/>
    <x v="0"/>
    <x v="99"/>
    <x v="0"/>
    <x v="99"/>
  </r>
  <r>
    <x v="183"/>
    <x v="6"/>
    <x v="6"/>
    <x v="2"/>
    <x v="26"/>
    <x v="1"/>
    <x v="0"/>
    <x v="33"/>
    <x v="14"/>
    <x v="4"/>
    <x v="13"/>
    <x v="100"/>
    <x v="0"/>
    <x v="100"/>
  </r>
  <r>
    <x v="184"/>
    <x v="6"/>
    <x v="6"/>
    <x v="2"/>
    <x v="26"/>
    <x v="2"/>
    <x v="0"/>
    <x v="0"/>
    <x v="0"/>
    <x v="0"/>
    <x v="0"/>
    <x v="0"/>
    <x v="0"/>
    <x v="0"/>
  </r>
  <r>
    <x v="185"/>
    <x v="6"/>
    <x v="6"/>
    <x v="2"/>
    <x v="27"/>
    <x v="3"/>
    <x v="0"/>
    <x v="0"/>
    <x v="0"/>
    <x v="0"/>
    <x v="0"/>
    <x v="0"/>
    <x v="0"/>
    <x v="0"/>
  </r>
  <r>
    <x v="186"/>
    <x v="6"/>
    <x v="6"/>
    <x v="2"/>
    <x v="27"/>
    <x v="4"/>
    <x v="2"/>
    <x v="34"/>
    <x v="10"/>
    <x v="3"/>
    <x v="3"/>
    <x v="101"/>
    <x v="0"/>
    <x v="101"/>
  </r>
  <r>
    <x v="187"/>
    <x v="6"/>
    <x v="6"/>
    <x v="2"/>
    <x v="27"/>
    <x v="5"/>
    <x v="2"/>
    <x v="18"/>
    <x v="3"/>
    <x v="0"/>
    <x v="5"/>
    <x v="102"/>
    <x v="0"/>
    <x v="102"/>
  </r>
  <r>
    <x v="188"/>
    <x v="6"/>
    <x v="6"/>
    <x v="2"/>
    <x v="27"/>
    <x v="6"/>
    <x v="11"/>
    <x v="22"/>
    <x v="16"/>
    <x v="5"/>
    <x v="1"/>
    <x v="57"/>
    <x v="0"/>
    <x v="57"/>
  </r>
  <r>
    <x v="189"/>
    <x v="6"/>
    <x v="6"/>
    <x v="2"/>
    <x v="27"/>
    <x v="0"/>
    <x v="0"/>
    <x v="0"/>
    <x v="0"/>
    <x v="0"/>
    <x v="0"/>
    <x v="0"/>
    <x v="0"/>
    <x v="0"/>
  </r>
  <r>
    <x v="190"/>
    <x v="6"/>
    <x v="6"/>
    <x v="2"/>
    <x v="27"/>
    <x v="1"/>
    <x v="2"/>
    <x v="35"/>
    <x v="23"/>
    <x v="0"/>
    <x v="0"/>
    <x v="103"/>
    <x v="0"/>
    <x v="103"/>
  </r>
  <r>
    <x v="191"/>
    <x v="6"/>
    <x v="6"/>
    <x v="2"/>
    <x v="27"/>
    <x v="2"/>
    <x v="0"/>
    <x v="0"/>
    <x v="0"/>
    <x v="0"/>
    <x v="0"/>
    <x v="0"/>
    <x v="0"/>
    <x v="0"/>
  </r>
  <r>
    <x v="192"/>
    <x v="6"/>
    <x v="6"/>
    <x v="2"/>
    <x v="28"/>
    <x v="3"/>
    <x v="0"/>
    <x v="0"/>
    <x v="0"/>
    <x v="0"/>
    <x v="0"/>
    <x v="0"/>
    <x v="0"/>
    <x v="0"/>
  </r>
  <r>
    <x v="193"/>
    <x v="6"/>
    <x v="6"/>
    <x v="2"/>
    <x v="28"/>
    <x v="4"/>
    <x v="4"/>
    <x v="1"/>
    <x v="5"/>
    <x v="4"/>
    <x v="0"/>
    <x v="46"/>
    <x v="0"/>
    <x v="46"/>
  </r>
  <r>
    <x v="194"/>
    <x v="6"/>
    <x v="6"/>
    <x v="2"/>
    <x v="28"/>
    <x v="5"/>
    <x v="10"/>
    <x v="2"/>
    <x v="10"/>
    <x v="3"/>
    <x v="0"/>
    <x v="23"/>
    <x v="0"/>
    <x v="23"/>
  </r>
  <r>
    <x v="195"/>
    <x v="6"/>
    <x v="6"/>
    <x v="2"/>
    <x v="28"/>
    <x v="6"/>
    <x v="22"/>
    <x v="36"/>
    <x v="21"/>
    <x v="0"/>
    <x v="5"/>
    <x v="104"/>
    <x v="0"/>
    <x v="104"/>
  </r>
  <r>
    <x v="196"/>
    <x v="6"/>
    <x v="6"/>
    <x v="2"/>
    <x v="28"/>
    <x v="0"/>
    <x v="4"/>
    <x v="6"/>
    <x v="10"/>
    <x v="0"/>
    <x v="3"/>
    <x v="23"/>
    <x v="0"/>
    <x v="23"/>
  </r>
  <r>
    <x v="197"/>
    <x v="6"/>
    <x v="6"/>
    <x v="2"/>
    <x v="28"/>
    <x v="1"/>
    <x v="18"/>
    <x v="18"/>
    <x v="0"/>
    <x v="4"/>
    <x v="5"/>
    <x v="3"/>
    <x v="0"/>
    <x v="3"/>
  </r>
  <r>
    <x v="198"/>
    <x v="6"/>
    <x v="6"/>
    <x v="2"/>
    <x v="28"/>
    <x v="2"/>
    <x v="0"/>
    <x v="0"/>
    <x v="0"/>
    <x v="0"/>
    <x v="0"/>
    <x v="0"/>
    <x v="0"/>
    <x v="0"/>
  </r>
  <r>
    <x v="199"/>
    <x v="6"/>
    <x v="6"/>
    <x v="2"/>
    <x v="29"/>
    <x v="3"/>
    <x v="0"/>
    <x v="0"/>
    <x v="0"/>
    <x v="0"/>
    <x v="0"/>
    <x v="0"/>
    <x v="0"/>
    <x v="0"/>
  </r>
  <r>
    <x v="200"/>
    <x v="6"/>
    <x v="6"/>
    <x v="2"/>
    <x v="29"/>
    <x v="4"/>
    <x v="0"/>
    <x v="0"/>
    <x v="0"/>
    <x v="0"/>
    <x v="0"/>
    <x v="0"/>
    <x v="0"/>
    <x v="0"/>
  </r>
  <r>
    <x v="201"/>
    <x v="6"/>
    <x v="6"/>
    <x v="2"/>
    <x v="29"/>
    <x v="5"/>
    <x v="20"/>
    <x v="37"/>
    <x v="0"/>
    <x v="0"/>
    <x v="22"/>
    <x v="105"/>
    <x v="0"/>
    <x v="105"/>
  </r>
  <r>
    <x v="202"/>
    <x v="6"/>
    <x v="6"/>
    <x v="2"/>
    <x v="29"/>
    <x v="6"/>
    <x v="21"/>
    <x v="34"/>
    <x v="1"/>
    <x v="4"/>
    <x v="0"/>
    <x v="54"/>
    <x v="0"/>
    <x v="54"/>
  </r>
  <r>
    <x v="203"/>
    <x v="6"/>
    <x v="6"/>
    <x v="2"/>
    <x v="29"/>
    <x v="0"/>
    <x v="15"/>
    <x v="30"/>
    <x v="4"/>
    <x v="5"/>
    <x v="5"/>
    <x v="106"/>
    <x v="0"/>
    <x v="106"/>
  </r>
  <r>
    <x v="204"/>
    <x v="6"/>
    <x v="6"/>
    <x v="2"/>
    <x v="29"/>
    <x v="1"/>
    <x v="0"/>
    <x v="5"/>
    <x v="16"/>
    <x v="0"/>
    <x v="0"/>
    <x v="107"/>
    <x v="0"/>
    <x v="107"/>
  </r>
  <r>
    <x v="205"/>
    <x v="6"/>
    <x v="6"/>
    <x v="2"/>
    <x v="29"/>
    <x v="2"/>
    <x v="0"/>
    <x v="0"/>
    <x v="0"/>
    <x v="0"/>
    <x v="0"/>
    <x v="0"/>
    <x v="0"/>
    <x v="0"/>
  </r>
  <r>
    <x v="206"/>
    <x v="6"/>
    <x v="6"/>
    <x v="2"/>
    <x v="30"/>
    <x v="3"/>
    <x v="0"/>
    <x v="0"/>
    <x v="0"/>
    <x v="0"/>
    <x v="0"/>
    <x v="0"/>
    <x v="0"/>
    <x v="0"/>
  </r>
  <r>
    <x v="207"/>
    <x v="6"/>
    <x v="6"/>
    <x v="2"/>
    <x v="30"/>
    <x v="4"/>
    <x v="3"/>
    <x v="30"/>
    <x v="0"/>
    <x v="3"/>
    <x v="1"/>
    <x v="27"/>
    <x v="0"/>
    <x v="27"/>
  </r>
  <r>
    <x v="208"/>
    <x v="6"/>
    <x v="6"/>
    <x v="2"/>
    <x v="30"/>
    <x v="5"/>
    <x v="7"/>
    <x v="0"/>
    <x v="0"/>
    <x v="0"/>
    <x v="1"/>
    <x v="108"/>
    <x v="0"/>
    <x v="108"/>
  </r>
  <r>
    <x v="209"/>
    <x v="6"/>
    <x v="6"/>
    <x v="2"/>
    <x v="30"/>
    <x v="6"/>
    <x v="6"/>
    <x v="17"/>
    <x v="11"/>
    <x v="5"/>
    <x v="0"/>
    <x v="99"/>
    <x v="0"/>
    <x v="99"/>
  </r>
  <r>
    <x v="210"/>
    <x v="6"/>
    <x v="6"/>
    <x v="2"/>
    <x v="30"/>
    <x v="0"/>
    <x v="2"/>
    <x v="23"/>
    <x v="16"/>
    <x v="0"/>
    <x v="0"/>
    <x v="36"/>
    <x v="0"/>
    <x v="36"/>
  </r>
  <r>
    <x v="211"/>
    <x v="6"/>
    <x v="6"/>
    <x v="2"/>
    <x v="30"/>
    <x v="1"/>
    <x v="27"/>
    <x v="14"/>
    <x v="24"/>
    <x v="5"/>
    <x v="5"/>
    <x v="109"/>
    <x v="0"/>
    <x v="109"/>
  </r>
  <r>
    <x v="212"/>
    <x v="7"/>
    <x v="7"/>
    <x v="2"/>
    <x v="30"/>
    <x v="2"/>
    <x v="0"/>
    <x v="0"/>
    <x v="0"/>
    <x v="0"/>
    <x v="0"/>
    <x v="0"/>
    <x v="0"/>
    <x v="0"/>
  </r>
  <r>
    <x v="213"/>
    <x v="7"/>
    <x v="7"/>
    <x v="2"/>
    <x v="31"/>
    <x v="3"/>
    <x v="0"/>
    <x v="0"/>
    <x v="0"/>
    <x v="0"/>
    <x v="0"/>
    <x v="0"/>
    <x v="0"/>
    <x v="0"/>
  </r>
  <r>
    <x v="214"/>
    <x v="7"/>
    <x v="7"/>
    <x v="2"/>
    <x v="31"/>
    <x v="4"/>
    <x v="23"/>
    <x v="25"/>
    <x v="18"/>
    <x v="0"/>
    <x v="18"/>
    <x v="110"/>
    <x v="0"/>
    <x v="110"/>
  </r>
  <r>
    <x v="215"/>
    <x v="7"/>
    <x v="7"/>
    <x v="2"/>
    <x v="31"/>
    <x v="5"/>
    <x v="6"/>
    <x v="38"/>
    <x v="0"/>
    <x v="0"/>
    <x v="21"/>
    <x v="111"/>
    <x v="0"/>
    <x v="111"/>
  </r>
  <r>
    <x v="216"/>
    <x v="7"/>
    <x v="7"/>
    <x v="2"/>
    <x v="31"/>
    <x v="6"/>
    <x v="3"/>
    <x v="24"/>
    <x v="13"/>
    <x v="4"/>
    <x v="0"/>
    <x v="23"/>
    <x v="0"/>
    <x v="23"/>
  </r>
  <r>
    <x v="217"/>
    <x v="7"/>
    <x v="7"/>
    <x v="2"/>
    <x v="31"/>
    <x v="0"/>
    <x v="11"/>
    <x v="0"/>
    <x v="12"/>
    <x v="3"/>
    <x v="13"/>
    <x v="15"/>
    <x v="0"/>
    <x v="15"/>
  </r>
  <r>
    <x v="218"/>
    <x v="7"/>
    <x v="7"/>
    <x v="2"/>
    <x v="31"/>
    <x v="1"/>
    <x v="18"/>
    <x v="25"/>
    <x v="24"/>
    <x v="5"/>
    <x v="2"/>
    <x v="112"/>
    <x v="0"/>
    <x v="112"/>
  </r>
  <r>
    <x v="219"/>
    <x v="7"/>
    <x v="7"/>
    <x v="2"/>
    <x v="31"/>
    <x v="2"/>
    <x v="0"/>
    <x v="0"/>
    <x v="0"/>
    <x v="0"/>
    <x v="0"/>
    <x v="0"/>
    <x v="0"/>
    <x v="0"/>
  </r>
  <r>
    <x v="220"/>
    <x v="7"/>
    <x v="7"/>
    <x v="2"/>
    <x v="32"/>
    <x v="3"/>
    <x v="0"/>
    <x v="0"/>
    <x v="0"/>
    <x v="0"/>
    <x v="0"/>
    <x v="0"/>
    <x v="0"/>
    <x v="0"/>
  </r>
  <r>
    <x v="221"/>
    <x v="7"/>
    <x v="7"/>
    <x v="2"/>
    <x v="32"/>
    <x v="4"/>
    <x v="10"/>
    <x v="0"/>
    <x v="0"/>
    <x v="0"/>
    <x v="14"/>
    <x v="113"/>
    <x v="0"/>
    <x v="113"/>
  </r>
  <r>
    <x v="222"/>
    <x v="7"/>
    <x v="7"/>
    <x v="2"/>
    <x v="32"/>
    <x v="5"/>
    <x v="13"/>
    <x v="23"/>
    <x v="6"/>
    <x v="5"/>
    <x v="0"/>
    <x v="96"/>
    <x v="0"/>
    <x v="96"/>
  </r>
  <r>
    <x v="223"/>
    <x v="7"/>
    <x v="7"/>
    <x v="2"/>
    <x v="32"/>
    <x v="6"/>
    <x v="2"/>
    <x v="39"/>
    <x v="8"/>
    <x v="0"/>
    <x v="0"/>
    <x v="22"/>
    <x v="0"/>
    <x v="22"/>
  </r>
  <r>
    <x v="224"/>
    <x v="7"/>
    <x v="7"/>
    <x v="2"/>
    <x v="32"/>
    <x v="0"/>
    <x v="4"/>
    <x v="20"/>
    <x v="3"/>
    <x v="0"/>
    <x v="13"/>
    <x v="54"/>
    <x v="0"/>
    <x v="54"/>
  </r>
  <r>
    <x v="225"/>
    <x v="7"/>
    <x v="7"/>
    <x v="2"/>
    <x v="32"/>
    <x v="1"/>
    <x v="11"/>
    <x v="0"/>
    <x v="18"/>
    <x v="0"/>
    <x v="0"/>
    <x v="114"/>
    <x v="0"/>
    <x v="114"/>
  </r>
  <r>
    <x v="226"/>
    <x v="7"/>
    <x v="7"/>
    <x v="2"/>
    <x v="32"/>
    <x v="2"/>
    <x v="0"/>
    <x v="0"/>
    <x v="0"/>
    <x v="0"/>
    <x v="0"/>
    <x v="0"/>
    <x v="0"/>
    <x v="0"/>
  </r>
  <r>
    <x v="227"/>
    <x v="7"/>
    <x v="7"/>
    <x v="2"/>
    <x v="33"/>
    <x v="3"/>
    <x v="0"/>
    <x v="0"/>
    <x v="0"/>
    <x v="0"/>
    <x v="0"/>
    <x v="0"/>
    <x v="0"/>
    <x v="0"/>
  </r>
  <r>
    <x v="228"/>
    <x v="7"/>
    <x v="7"/>
    <x v="2"/>
    <x v="33"/>
    <x v="4"/>
    <x v="18"/>
    <x v="11"/>
    <x v="2"/>
    <x v="0"/>
    <x v="3"/>
    <x v="9"/>
    <x v="0"/>
    <x v="9"/>
  </r>
  <r>
    <x v="229"/>
    <x v="7"/>
    <x v="7"/>
    <x v="2"/>
    <x v="33"/>
    <x v="5"/>
    <x v="0"/>
    <x v="2"/>
    <x v="8"/>
    <x v="4"/>
    <x v="5"/>
    <x v="30"/>
    <x v="0"/>
    <x v="30"/>
  </r>
  <r>
    <x v="230"/>
    <x v="7"/>
    <x v="7"/>
    <x v="2"/>
    <x v="33"/>
    <x v="6"/>
    <x v="1"/>
    <x v="0"/>
    <x v="3"/>
    <x v="3"/>
    <x v="3"/>
    <x v="115"/>
    <x v="0"/>
    <x v="115"/>
  </r>
  <r>
    <x v="231"/>
    <x v="7"/>
    <x v="7"/>
    <x v="2"/>
    <x v="33"/>
    <x v="0"/>
    <x v="6"/>
    <x v="0"/>
    <x v="13"/>
    <x v="4"/>
    <x v="0"/>
    <x v="116"/>
    <x v="0"/>
    <x v="116"/>
  </r>
  <r>
    <x v="232"/>
    <x v="7"/>
    <x v="7"/>
    <x v="2"/>
    <x v="33"/>
    <x v="1"/>
    <x v="10"/>
    <x v="40"/>
    <x v="0"/>
    <x v="0"/>
    <x v="18"/>
    <x v="117"/>
    <x v="0"/>
    <x v="117"/>
  </r>
  <r>
    <x v="233"/>
    <x v="7"/>
    <x v="7"/>
    <x v="2"/>
    <x v="33"/>
    <x v="2"/>
    <x v="0"/>
    <x v="0"/>
    <x v="0"/>
    <x v="0"/>
    <x v="0"/>
    <x v="0"/>
    <x v="0"/>
    <x v="0"/>
  </r>
  <r>
    <x v="234"/>
    <x v="7"/>
    <x v="7"/>
    <x v="2"/>
    <x v="34"/>
    <x v="3"/>
    <x v="0"/>
    <x v="0"/>
    <x v="0"/>
    <x v="0"/>
    <x v="0"/>
    <x v="0"/>
    <x v="0"/>
    <x v="0"/>
  </r>
  <r>
    <x v="235"/>
    <x v="7"/>
    <x v="7"/>
    <x v="2"/>
    <x v="34"/>
    <x v="4"/>
    <x v="3"/>
    <x v="9"/>
    <x v="10"/>
    <x v="4"/>
    <x v="3"/>
    <x v="118"/>
    <x v="0"/>
    <x v="118"/>
  </r>
  <r>
    <x v="236"/>
    <x v="7"/>
    <x v="7"/>
    <x v="2"/>
    <x v="34"/>
    <x v="5"/>
    <x v="0"/>
    <x v="5"/>
    <x v="7"/>
    <x v="2"/>
    <x v="0"/>
    <x v="119"/>
    <x v="0"/>
    <x v="119"/>
  </r>
  <r>
    <x v="237"/>
    <x v="7"/>
    <x v="7"/>
    <x v="2"/>
    <x v="34"/>
    <x v="6"/>
    <x v="21"/>
    <x v="10"/>
    <x v="12"/>
    <x v="0"/>
    <x v="0"/>
    <x v="20"/>
    <x v="0"/>
    <x v="20"/>
  </r>
  <r>
    <x v="238"/>
    <x v="7"/>
    <x v="7"/>
    <x v="2"/>
    <x v="34"/>
    <x v="0"/>
    <x v="2"/>
    <x v="41"/>
    <x v="0"/>
    <x v="0"/>
    <x v="13"/>
    <x v="120"/>
    <x v="0"/>
    <x v="120"/>
  </r>
  <r>
    <x v="239"/>
    <x v="7"/>
    <x v="7"/>
    <x v="2"/>
    <x v="34"/>
    <x v="1"/>
    <x v="11"/>
    <x v="0"/>
    <x v="25"/>
    <x v="0"/>
    <x v="15"/>
    <x v="121"/>
    <x v="0"/>
    <x v="121"/>
  </r>
  <r>
    <x v="240"/>
    <x v="7"/>
    <x v="7"/>
    <x v="2"/>
    <x v="34"/>
    <x v="2"/>
    <x v="0"/>
    <x v="0"/>
    <x v="0"/>
    <x v="0"/>
    <x v="0"/>
    <x v="0"/>
    <x v="0"/>
    <x v="0"/>
  </r>
  <r>
    <x v="241"/>
    <x v="7"/>
    <x v="7"/>
    <x v="2"/>
    <x v="35"/>
    <x v="3"/>
    <x v="0"/>
    <x v="0"/>
    <x v="0"/>
    <x v="0"/>
    <x v="0"/>
    <x v="0"/>
    <x v="0"/>
    <x v="0"/>
  </r>
  <r>
    <x v="242"/>
    <x v="7"/>
    <x v="7"/>
    <x v="2"/>
    <x v="35"/>
    <x v="4"/>
    <x v="10"/>
    <x v="23"/>
    <x v="2"/>
    <x v="0"/>
    <x v="13"/>
    <x v="122"/>
    <x v="0"/>
    <x v="122"/>
  </r>
  <r>
    <x v="243"/>
    <x v="8"/>
    <x v="8"/>
    <x v="2"/>
    <x v="35"/>
    <x v="5"/>
    <x v="21"/>
    <x v="18"/>
    <x v="1"/>
    <x v="0"/>
    <x v="13"/>
    <x v="123"/>
    <x v="0"/>
    <x v="123"/>
  </r>
  <r>
    <x v="244"/>
    <x v="8"/>
    <x v="8"/>
    <x v="2"/>
    <x v="35"/>
    <x v="6"/>
    <x v="3"/>
    <x v="24"/>
    <x v="16"/>
    <x v="0"/>
    <x v="20"/>
    <x v="64"/>
    <x v="0"/>
    <x v="64"/>
  </r>
  <r>
    <x v="245"/>
    <x v="8"/>
    <x v="8"/>
    <x v="2"/>
    <x v="35"/>
    <x v="0"/>
    <x v="0"/>
    <x v="0"/>
    <x v="0"/>
    <x v="0"/>
    <x v="0"/>
    <x v="0"/>
    <x v="0"/>
    <x v="0"/>
  </r>
  <r>
    <x v="246"/>
    <x v="8"/>
    <x v="8"/>
    <x v="2"/>
    <x v="35"/>
    <x v="1"/>
    <x v="0"/>
    <x v="25"/>
    <x v="1"/>
    <x v="0"/>
    <x v="20"/>
    <x v="124"/>
    <x v="0"/>
    <x v="124"/>
  </r>
  <r>
    <x v="247"/>
    <x v="8"/>
    <x v="8"/>
    <x v="2"/>
    <x v="35"/>
    <x v="2"/>
    <x v="0"/>
    <x v="0"/>
    <x v="0"/>
    <x v="0"/>
    <x v="0"/>
    <x v="0"/>
    <x v="0"/>
    <x v="0"/>
  </r>
  <r>
    <x v="248"/>
    <x v="8"/>
    <x v="8"/>
    <x v="2"/>
    <x v="36"/>
    <x v="3"/>
    <x v="0"/>
    <x v="0"/>
    <x v="0"/>
    <x v="0"/>
    <x v="0"/>
    <x v="0"/>
    <x v="0"/>
    <x v="0"/>
  </r>
  <r>
    <x v="249"/>
    <x v="8"/>
    <x v="8"/>
    <x v="2"/>
    <x v="36"/>
    <x v="4"/>
    <x v="18"/>
    <x v="10"/>
    <x v="1"/>
    <x v="0"/>
    <x v="0"/>
    <x v="125"/>
    <x v="0"/>
    <x v="125"/>
  </r>
  <r>
    <x v="250"/>
    <x v="8"/>
    <x v="8"/>
    <x v="2"/>
    <x v="36"/>
    <x v="5"/>
    <x v="13"/>
    <x v="14"/>
    <x v="2"/>
    <x v="0"/>
    <x v="2"/>
    <x v="88"/>
    <x v="0"/>
    <x v="88"/>
  </r>
  <r>
    <x v="251"/>
    <x v="8"/>
    <x v="8"/>
    <x v="2"/>
    <x v="36"/>
    <x v="6"/>
    <x v="26"/>
    <x v="19"/>
    <x v="7"/>
    <x v="0"/>
    <x v="20"/>
    <x v="126"/>
    <x v="0"/>
    <x v="126"/>
  </r>
  <r>
    <x v="252"/>
    <x v="8"/>
    <x v="8"/>
    <x v="2"/>
    <x v="36"/>
    <x v="0"/>
    <x v="21"/>
    <x v="20"/>
    <x v="2"/>
    <x v="4"/>
    <x v="18"/>
    <x v="127"/>
    <x v="0"/>
    <x v="127"/>
  </r>
  <r>
    <x v="253"/>
    <x v="8"/>
    <x v="8"/>
    <x v="2"/>
    <x v="36"/>
    <x v="1"/>
    <x v="28"/>
    <x v="41"/>
    <x v="0"/>
    <x v="0"/>
    <x v="18"/>
    <x v="128"/>
    <x v="0"/>
    <x v="128"/>
  </r>
  <r>
    <x v="254"/>
    <x v="8"/>
    <x v="8"/>
    <x v="2"/>
    <x v="36"/>
    <x v="2"/>
    <x v="0"/>
    <x v="0"/>
    <x v="0"/>
    <x v="0"/>
    <x v="0"/>
    <x v="0"/>
    <x v="0"/>
    <x v="0"/>
  </r>
  <r>
    <x v="255"/>
    <x v="8"/>
    <x v="8"/>
    <x v="2"/>
    <x v="37"/>
    <x v="3"/>
    <x v="0"/>
    <x v="0"/>
    <x v="0"/>
    <x v="0"/>
    <x v="0"/>
    <x v="0"/>
    <x v="0"/>
    <x v="0"/>
  </r>
  <r>
    <x v="256"/>
    <x v="8"/>
    <x v="8"/>
    <x v="2"/>
    <x v="37"/>
    <x v="4"/>
    <x v="11"/>
    <x v="6"/>
    <x v="4"/>
    <x v="5"/>
    <x v="13"/>
    <x v="92"/>
    <x v="0"/>
    <x v="92"/>
  </r>
  <r>
    <x v="257"/>
    <x v="8"/>
    <x v="8"/>
    <x v="2"/>
    <x v="37"/>
    <x v="5"/>
    <x v="0"/>
    <x v="25"/>
    <x v="1"/>
    <x v="0"/>
    <x v="13"/>
    <x v="129"/>
    <x v="0"/>
    <x v="129"/>
  </r>
  <r>
    <x v="258"/>
    <x v="8"/>
    <x v="8"/>
    <x v="2"/>
    <x v="37"/>
    <x v="6"/>
    <x v="1"/>
    <x v="17"/>
    <x v="4"/>
    <x v="2"/>
    <x v="3"/>
    <x v="101"/>
    <x v="0"/>
    <x v="101"/>
  </r>
  <r>
    <x v="259"/>
    <x v="8"/>
    <x v="8"/>
    <x v="2"/>
    <x v="37"/>
    <x v="0"/>
    <x v="6"/>
    <x v="26"/>
    <x v="0"/>
    <x v="2"/>
    <x v="0"/>
    <x v="59"/>
    <x v="0"/>
    <x v="59"/>
  </r>
  <r>
    <x v="260"/>
    <x v="8"/>
    <x v="8"/>
    <x v="2"/>
    <x v="37"/>
    <x v="1"/>
    <x v="1"/>
    <x v="42"/>
    <x v="0"/>
    <x v="0"/>
    <x v="23"/>
    <x v="59"/>
    <x v="0"/>
    <x v="59"/>
  </r>
  <r>
    <x v="261"/>
    <x v="8"/>
    <x v="8"/>
    <x v="2"/>
    <x v="37"/>
    <x v="2"/>
    <x v="0"/>
    <x v="0"/>
    <x v="0"/>
    <x v="0"/>
    <x v="0"/>
    <x v="0"/>
    <x v="0"/>
    <x v="0"/>
  </r>
  <r>
    <x v="262"/>
    <x v="8"/>
    <x v="8"/>
    <x v="2"/>
    <x v="38"/>
    <x v="3"/>
    <x v="0"/>
    <x v="0"/>
    <x v="0"/>
    <x v="0"/>
    <x v="0"/>
    <x v="0"/>
    <x v="0"/>
    <x v="0"/>
  </r>
  <r>
    <x v="263"/>
    <x v="8"/>
    <x v="8"/>
    <x v="2"/>
    <x v="38"/>
    <x v="4"/>
    <x v="7"/>
    <x v="0"/>
    <x v="4"/>
    <x v="2"/>
    <x v="0"/>
    <x v="116"/>
    <x v="0"/>
    <x v="116"/>
  </r>
  <r>
    <x v="264"/>
    <x v="8"/>
    <x v="8"/>
    <x v="2"/>
    <x v="38"/>
    <x v="5"/>
    <x v="1"/>
    <x v="10"/>
    <x v="7"/>
    <x v="0"/>
    <x v="0"/>
    <x v="130"/>
    <x v="0"/>
    <x v="130"/>
  </r>
  <r>
    <x v="265"/>
    <x v="8"/>
    <x v="8"/>
    <x v="2"/>
    <x v="38"/>
    <x v="6"/>
    <x v="1"/>
    <x v="6"/>
    <x v="0"/>
    <x v="4"/>
    <x v="7"/>
    <x v="15"/>
    <x v="0"/>
    <x v="15"/>
  </r>
  <r>
    <x v="266"/>
    <x v="8"/>
    <x v="8"/>
    <x v="2"/>
    <x v="38"/>
    <x v="0"/>
    <x v="22"/>
    <x v="30"/>
    <x v="13"/>
    <x v="0"/>
    <x v="0"/>
    <x v="131"/>
    <x v="0"/>
    <x v="131"/>
  </r>
  <r>
    <x v="267"/>
    <x v="8"/>
    <x v="8"/>
    <x v="2"/>
    <x v="38"/>
    <x v="1"/>
    <x v="27"/>
    <x v="23"/>
    <x v="18"/>
    <x v="5"/>
    <x v="0"/>
    <x v="132"/>
    <x v="0"/>
    <x v="132"/>
  </r>
  <r>
    <x v="268"/>
    <x v="8"/>
    <x v="8"/>
    <x v="2"/>
    <x v="38"/>
    <x v="2"/>
    <x v="0"/>
    <x v="0"/>
    <x v="0"/>
    <x v="0"/>
    <x v="0"/>
    <x v="0"/>
    <x v="0"/>
    <x v="0"/>
  </r>
  <r>
    <x v="269"/>
    <x v="8"/>
    <x v="8"/>
    <x v="2"/>
    <x v="39"/>
    <x v="3"/>
    <x v="0"/>
    <x v="0"/>
    <x v="0"/>
    <x v="0"/>
    <x v="0"/>
    <x v="0"/>
    <x v="0"/>
    <x v="0"/>
  </r>
  <r>
    <x v="270"/>
    <x v="8"/>
    <x v="8"/>
    <x v="2"/>
    <x v="39"/>
    <x v="4"/>
    <x v="0"/>
    <x v="0"/>
    <x v="0"/>
    <x v="0"/>
    <x v="0"/>
    <x v="0"/>
    <x v="0"/>
    <x v="0"/>
  </r>
  <r>
    <x v="271"/>
    <x v="8"/>
    <x v="8"/>
    <x v="2"/>
    <x v="39"/>
    <x v="5"/>
    <x v="26"/>
    <x v="26"/>
    <x v="5"/>
    <x v="2"/>
    <x v="13"/>
    <x v="72"/>
    <x v="0"/>
    <x v="72"/>
  </r>
  <r>
    <x v="272"/>
    <x v="8"/>
    <x v="8"/>
    <x v="2"/>
    <x v="39"/>
    <x v="6"/>
    <x v="6"/>
    <x v="25"/>
    <x v="6"/>
    <x v="5"/>
    <x v="13"/>
    <x v="133"/>
    <x v="0"/>
    <x v="133"/>
  </r>
  <r>
    <x v="273"/>
    <x v="9"/>
    <x v="9"/>
    <x v="3"/>
    <x v="39"/>
    <x v="0"/>
    <x v="4"/>
    <x v="39"/>
    <x v="0"/>
    <x v="0"/>
    <x v="2"/>
    <x v="129"/>
    <x v="0"/>
    <x v="129"/>
  </r>
  <r>
    <x v="274"/>
    <x v="9"/>
    <x v="9"/>
    <x v="3"/>
    <x v="39"/>
    <x v="1"/>
    <x v="15"/>
    <x v="17"/>
    <x v="12"/>
    <x v="1"/>
    <x v="2"/>
    <x v="57"/>
    <x v="0"/>
    <x v="57"/>
  </r>
  <r>
    <x v="275"/>
    <x v="9"/>
    <x v="9"/>
    <x v="3"/>
    <x v="39"/>
    <x v="2"/>
    <x v="0"/>
    <x v="0"/>
    <x v="0"/>
    <x v="0"/>
    <x v="0"/>
    <x v="0"/>
    <x v="0"/>
    <x v="0"/>
  </r>
  <r>
    <x v="276"/>
    <x v="9"/>
    <x v="9"/>
    <x v="3"/>
    <x v="40"/>
    <x v="3"/>
    <x v="0"/>
    <x v="0"/>
    <x v="0"/>
    <x v="0"/>
    <x v="0"/>
    <x v="0"/>
    <x v="0"/>
    <x v="0"/>
  </r>
  <r>
    <x v="277"/>
    <x v="9"/>
    <x v="9"/>
    <x v="3"/>
    <x v="40"/>
    <x v="4"/>
    <x v="15"/>
    <x v="43"/>
    <x v="0"/>
    <x v="0"/>
    <x v="24"/>
    <x v="134"/>
    <x v="0"/>
    <x v="134"/>
  </r>
  <r>
    <x v="278"/>
    <x v="9"/>
    <x v="9"/>
    <x v="3"/>
    <x v="40"/>
    <x v="5"/>
    <x v="29"/>
    <x v="44"/>
    <x v="0"/>
    <x v="0"/>
    <x v="20"/>
    <x v="135"/>
    <x v="0"/>
    <x v="135"/>
  </r>
  <r>
    <x v="279"/>
    <x v="9"/>
    <x v="9"/>
    <x v="3"/>
    <x v="40"/>
    <x v="6"/>
    <x v="6"/>
    <x v="40"/>
    <x v="6"/>
    <x v="0"/>
    <x v="7"/>
    <x v="136"/>
    <x v="0"/>
    <x v="136"/>
  </r>
  <r>
    <x v="280"/>
    <x v="9"/>
    <x v="9"/>
    <x v="3"/>
    <x v="40"/>
    <x v="0"/>
    <x v="0"/>
    <x v="0"/>
    <x v="0"/>
    <x v="0"/>
    <x v="0"/>
    <x v="0"/>
    <x v="0"/>
    <x v="0"/>
  </r>
  <r>
    <x v="281"/>
    <x v="9"/>
    <x v="9"/>
    <x v="3"/>
    <x v="40"/>
    <x v="1"/>
    <x v="17"/>
    <x v="18"/>
    <x v="0"/>
    <x v="4"/>
    <x v="1"/>
    <x v="104"/>
    <x v="0"/>
    <x v="104"/>
  </r>
  <r>
    <x v="282"/>
    <x v="9"/>
    <x v="9"/>
    <x v="3"/>
    <x v="40"/>
    <x v="2"/>
    <x v="0"/>
    <x v="0"/>
    <x v="0"/>
    <x v="0"/>
    <x v="0"/>
    <x v="0"/>
    <x v="0"/>
    <x v="0"/>
  </r>
  <r>
    <x v="283"/>
    <x v="9"/>
    <x v="9"/>
    <x v="3"/>
    <x v="41"/>
    <x v="3"/>
    <x v="0"/>
    <x v="0"/>
    <x v="0"/>
    <x v="0"/>
    <x v="0"/>
    <x v="0"/>
    <x v="0"/>
    <x v="0"/>
  </r>
  <r>
    <x v="284"/>
    <x v="9"/>
    <x v="9"/>
    <x v="3"/>
    <x v="41"/>
    <x v="4"/>
    <x v="4"/>
    <x v="25"/>
    <x v="6"/>
    <x v="4"/>
    <x v="20"/>
    <x v="58"/>
    <x v="0"/>
    <x v="58"/>
  </r>
  <r>
    <x v="285"/>
    <x v="9"/>
    <x v="9"/>
    <x v="3"/>
    <x v="41"/>
    <x v="5"/>
    <x v="27"/>
    <x v="45"/>
    <x v="2"/>
    <x v="5"/>
    <x v="25"/>
    <x v="137"/>
    <x v="0"/>
    <x v="137"/>
  </r>
  <r>
    <x v="286"/>
    <x v="9"/>
    <x v="9"/>
    <x v="3"/>
    <x v="41"/>
    <x v="6"/>
    <x v="2"/>
    <x v="0"/>
    <x v="5"/>
    <x v="1"/>
    <x v="2"/>
    <x v="50"/>
    <x v="0"/>
    <x v="50"/>
  </r>
  <r>
    <x v="287"/>
    <x v="9"/>
    <x v="9"/>
    <x v="3"/>
    <x v="41"/>
    <x v="0"/>
    <x v="1"/>
    <x v="46"/>
    <x v="0"/>
    <x v="0"/>
    <x v="14"/>
    <x v="138"/>
    <x v="0"/>
    <x v="138"/>
  </r>
  <r>
    <x v="288"/>
    <x v="9"/>
    <x v="9"/>
    <x v="3"/>
    <x v="41"/>
    <x v="1"/>
    <x v="26"/>
    <x v="47"/>
    <x v="24"/>
    <x v="2"/>
    <x v="0"/>
    <x v="139"/>
    <x v="0"/>
    <x v="139"/>
  </r>
  <r>
    <x v="289"/>
    <x v="9"/>
    <x v="9"/>
    <x v="3"/>
    <x v="41"/>
    <x v="2"/>
    <x v="0"/>
    <x v="0"/>
    <x v="0"/>
    <x v="0"/>
    <x v="0"/>
    <x v="0"/>
    <x v="0"/>
    <x v="0"/>
  </r>
  <r>
    <x v="290"/>
    <x v="9"/>
    <x v="9"/>
    <x v="3"/>
    <x v="42"/>
    <x v="3"/>
    <x v="0"/>
    <x v="0"/>
    <x v="0"/>
    <x v="0"/>
    <x v="0"/>
    <x v="0"/>
    <x v="0"/>
    <x v="0"/>
  </r>
  <r>
    <x v="291"/>
    <x v="9"/>
    <x v="9"/>
    <x v="3"/>
    <x v="42"/>
    <x v="4"/>
    <x v="1"/>
    <x v="24"/>
    <x v="5"/>
    <x v="0"/>
    <x v="0"/>
    <x v="7"/>
    <x v="0"/>
    <x v="7"/>
  </r>
  <r>
    <x v="292"/>
    <x v="9"/>
    <x v="9"/>
    <x v="3"/>
    <x v="42"/>
    <x v="5"/>
    <x v="2"/>
    <x v="0"/>
    <x v="0"/>
    <x v="2"/>
    <x v="5"/>
    <x v="140"/>
    <x v="0"/>
    <x v="140"/>
  </r>
  <r>
    <x v="293"/>
    <x v="9"/>
    <x v="9"/>
    <x v="3"/>
    <x v="42"/>
    <x v="6"/>
    <x v="20"/>
    <x v="40"/>
    <x v="0"/>
    <x v="0"/>
    <x v="26"/>
    <x v="141"/>
    <x v="0"/>
    <x v="141"/>
  </r>
  <r>
    <x v="294"/>
    <x v="9"/>
    <x v="9"/>
    <x v="3"/>
    <x v="42"/>
    <x v="0"/>
    <x v="4"/>
    <x v="22"/>
    <x v="13"/>
    <x v="0"/>
    <x v="1"/>
    <x v="46"/>
    <x v="0"/>
    <x v="46"/>
  </r>
  <r>
    <x v="295"/>
    <x v="9"/>
    <x v="9"/>
    <x v="3"/>
    <x v="42"/>
    <x v="1"/>
    <x v="4"/>
    <x v="17"/>
    <x v="21"/>
    <x v="3"/>
    <x v="7"/>
    <x v="142"/>
    <x v="0"/>
    <x v="142"/>
  </r>
  <r>
    <x v="296"/>
    <x v="9"/>
    <x v="9"/>
    <x v="3"/>
    <x v="42"/>
    <x v="2"/>
    <x v="0"/>
    <x v="0"/>
    <x v="0"/>
    <x v="0"/>
    <x v="0"/>
    <x v="0"/>
    <x v="0"/>
    <x v="0"/>
  </r>
  <r>
    <x v="297"/>
    <x v="9"/>
    <x v="9"/>
    <x v="3"/>
    <x v="43"/>
    <x v="3"/>
    <x v="0"/>
    <x v="0"/>
    <x v="0"/>
    <x v="0"/>
    <x v="0"/>
    <x v="0"/>
    <x v="0"/>
    <x v="0"/>
  </r>
  <r>
    <x v="298"/>
    <x v="9"/>
    <x v="9"/>
    <x v="3"/>
    <x v="43"/>
    <x v="4"/>
    <x v="6"/>
    <x v="10"/>
    <x v="11"/>
    <x v="4"/>
    <x v="0"/>
    <x v="30"/>
    <x v="0"/>
    <x v="30"/>
  </r>
  <r>
    <x v="299"/>
    <x v="9"/>
    <x v="9"/>
    <x v="3"/>
    <x v="43"/>
    <x v="5"/>
    <x v="10"/>
    <x v="36"/>
    <x v="12"/>
    <x v="2"/>
    <x v="13"/>
    <x v="143"/>
    <x v="0"/>
    <x v="143"/>
  </r>
  <r>
    <x v="300"/>
    <x v="9"/>
    <x v="9"/>
    <x v="3"/>
    <x v="43"/>
    <x v="6"/>
    <x v="1"/>
    <x v="30"/>
    <x v="0"/>
    <x v="5"/>
    <x v="5"/>
    <x v="144"/>
    <x v="0"/>
    <x v="144"/>
  </r>
  <r>
    <x v="301"/>
    <x v="9"/>
    <x v="9"/>
    <x v="3"/>
    <x v="43"/>
    <x v="0"/>
    <x v="3"/>
    <x v="10"/>
    <x v="8"/>
    <x v="0"/>
    <x v="3"/>
    <x v="3"/>
    <x v="0"/>
    <x v="3"/>
  </r>
  <r>
    <x v="302"/>
    <x v="9"/>
    <x v="9"/>
    <x v="3"/>
    <x v="43"/>
    <x v="1"/>
    <x v="30"/>
    <x v="48"/>
    <x v="2"/>
    <x v="0"/>
    <x v="7"/>
    <x v="145"/>
    <x v="0"/>
    <x v="145"/>
  </r>
  <r>
    <x v="303"/>
    <x v="9"/>
    <x v="9"/>
    <x v="3"/>
    <x v="43"/>
    <x v="2"/>
    <x v="0"/>
    <x v="0"/>
    <x v="0"/>
    <x v="0"/>
    <x v="0"/>
    <x v="0"/>
    <x v="0"/>
    <x v="0"/>
  </r>
  <r>
    <x v="304"/>
    <x v="10"/>
    <x v="10"/>
    <x v="3"/>
    <x v="44"/>
    <x v="3"/>
    <x v="0"/>
    <x v="0"/>
    <x v="0"/>
    <x v="0"/>
    <x v="0"/>
    <x v="0"/>
    <x v="0"/>
    <x v="0"/>
  </r>
  <r>
    <x v="305"/>
    <x v="10"/>
    <x v="10"/>
    <x v="3"/>
    <x v="44"/>
    <x v="4"/>
    <x v="3"/>
    <x v="14"/>
    <x v="18"/>
    <x v="2"/>
    <x v="0"/>
    <x v="49"/>
    <x v="0"/>
    <x v="49"/>
  </r>
  <r>
    <x v="306"/>
    <x v="10"/>
    <x v="10"/>
    <x v="3"/>
    <x v="44"/>
    <x v="5"/>
    <x v="11"/>
    <x v="6"/>
    <x v="16"/>
    <x v="3"/>
    <x v="0"/>
    <x v="30"/>
    <x v="0"/>
    <x v="30"/>
  </r>
  <r>
    <x v="307"/>
    <x v="10"/>
    <x v="10"/>
    <x v="3"/>
    <x v="44"/>
    <x v="6"/>
    <x v="18"/>
    <x v="0"/>
    <x v="16"/>
    <x v="2"/>
    <x v="2"/>
    <x v="73"/>
    <x v="0"/>
    <x v="73"/>
  </r>
  <r>
    <x v="308"/>
    <x v="10"/>
    <x v="10"/>
    <x v="3"/>
    <x v="44"/>
    <x v="0"/>
    <x v="31"/>
    <x v="49"/>
    <x v="9"/>
    <x v="0"/>
    <x v="5"/>
    <x v="146"/>
    <x v="0"/>
    <x v="146"/>
  </r>
  <r>
    <x v="309"/>
    <x v="10"/>
    <x v="10"/>
    <x v="3"/>
    <x v="44"/>
    <x v="1"/>
    <x v="13"/>
    <x v="45"/>
    <x v="19"/>
    <x v="1"/>
    <x v="0"/>
    <x v="100"/>
    <x v="0"/>
    <x v="100"/>
  </r>
  <r>
    <x v="310"/>
    <x v="10"/>
    <x v="10"/>
    <x v="3"/>
    <x v="44"/>
    <x v="2"/>
    <x v="0"/>
    <x v="0"/>
    <x v="0"/>
    <x v="0"/>
    <x v="0"/>
    <x v="0"/>
    <x v="0"/>
    <x v="0"/>
  </r>
  <r>
    <x v="311"/>
    <x v="10"/>
    <x v="10"/>
    <x v="3"/>
    <x v="45"/>
    <x v="3"/>
    <x v="0"/>
    <x v="0"/>
    <x v="0"/>
    <x v="0"/>
    <x v="0"/>
    <x v="0"/>
    <x v="0"/>
    <x v="0"/>
  </r>
  <r>
    <x v="312"/>
    <x v="10"/>
    <x v="10"/>
    <x v="3"/>
    <x v="45"/>
    <x v="4"/>
    <x v="21"/>
    <x v="22"/>
    <x v="2"/>
    <x v="5"/>
    <x v="23"/>
    <x v="147"/>
    <x v="0"/>
    <x v="147"/>
  </r>
  <r>
    <x v="313"/>
    <x v="10"/>
    <x v="10"/>
    <x v="3"/>
    <x v="45"/>
    <x v="5"/>
    <x v="9"/>
    <x v="26"/>
    <x v="4"/>
    <x v="0"/>
    <x v="0"/>
    <x v="51"/>
    <x v="0"/>
    <x v="51"/>
  </r>
  <r>
    <x v="314"/>
    <x v="10"/>
    <x v="10"/>
    <x v="3"/>
    <x v="45"/>
    <x v="6"/>
    <x v="10"/>
    <x v="13"/>
    <x v="4"/>
    <x v="4"/>
    <x v="2"/>
    <x v="71"/>
    <x v="0"/>
    <x v="71"/>
  </r>
  <r>
    <x v="315"/>
    <x v="10"/>
    <x v="10"/>
    <x v="3"/>
    <x v="45"/>
    <x v="0"/>
    <x v="15"/>
    <x v="0"/>
    <x v="0"/>
    <x v="1"/>
    <x v="7"/>
    <x v="148"/>
    <x v="0"/>
    <x v="148"/>
  </r>
  <r>
    <x v="316"/>
    <x v="10"/>
    <x v="10"/>
    <x v="3"/>
    <x v="45"/>
    <x v="1"/>
    <x v="10"/>
    <x v="39"/>
    <x v="0"/>
    <x v="3"/>
    <x v="21"/>
    <x v="149"/>
    <x v="0"/>
    <x v="149"/>
  </r>
  <r>
    <x v="317"/>
    <x v="10"/>
    <x v="10"/>
    <x v="3"/>
    <x v="45"/>
    <x v="2"/>
    <x v="0"/>
    <x v="0"/>
    <x v="0"/>
    <x v="0"/>
    <x v="0"/>
    <x v="0"/>
    <x v="0"/>
    <x v="0"/>
  </r>
  <r>
    <x v="318"/>
    <x v="10"/>
    <x v="10"/>
    <x v="3"/>
    <x v="46"/>
    <x v="3"/>
    <x v="0"/>
    <x v="0"/>
    <x v="0"/>
    <x v="0"/>
    <x v="0"/>
    <x v="0"/>
    <x v="0"/>
    <x v="0"/>
  </r>
  <r>
    <x v="319"/>
    <x v="10"/>
    <x v="10"/>
    <x v="3"/>
    <x v="46"/>
    <x v="4"/>
    <x v="20"/>
    <x v="4"/>
    <x v="0"/>
    <x v="0"/>
    <x v="23"/>
    <x v="150"/>
    <x v="0"/>
    <x v="150"/>
  </r>
  <r>
    <x v="320"/>
    <x v="10"/>
    <x v="10"/>
    <x v="3"/>
    <x v="46"/>
    <x v="5"/>
    <x v="15"/>
    <x v="2"/>
    <x v="2"/>
    <x v="0"/>
    <x v="1"/>
    <x v="88"/>
    <x v="0"/>
    <x v="88"/>
  </r>
  <r>
    <x v="321"/>
    <x v="10"/>
    <x v="10"/>
    <x v="3"/>
    <x v="46"/>
    <x v="6"/>
    <x v="32"/>
    <x v="38"/>
    <x v="0"/>
    <x v="0"/>
    <x v="25"/>
    <x v="151"/>
    <x v="0"/>
    <x v="151"/>
  </r>
  <r>
    <x v="322"/>
    <x v="10"/>
    <x v="10"/>
    <x v="3"/>
    <x v="46"/>
    <x v="0"/>
    <x v="10"/>
    <x v="41"/>
    <x v="0"/>
    <x v="0"/>
    <x v="22"/>
    <x v="7"/>
    <x v="0"/>
    <x v="7"/>
  </r>
  <r>
    <x v="323"/>
    <x v="10"/>
    <x v="10"/>
    <x v="3"/>
    <x v="46"/>
    <x v="1"/>
    <x v="30"/>
    <x v="18"/>
    <x v="2"/>
    <x v="5"/>
    <x v="27"/>
    <x v="112"/>
    <x v="0"/>
    <x v="112"/>
  </r>
  <r>
    <x v="324"/>
    <x v="10"/>
    <x v="10"/>
    <x v="3"/>
    <x v="46"/>
    <x v="2"/>
    <x v="0"/>
    <x v="0"/>
    <x v="0"/>
    <x v="0"/>
    <x v="0"/>
    <x v="0"/>
    <x v="0"/>
    <x v="0"/>
  </r>
  <r>
    <x v="325"/>
    <x v="10"/>
    <x v="10"/>
    <x v="3"/>
    <x v="47"/>
    <x v="3"/>
    <x v="0"/>
    <x v="0"/>
    <x v="0"/>
    <x v="0"/>
    <x v="0"/>
    <x v="0"/>
    <x v="0"/>
    <x v="0"/>
  </r>
  <r>
    <x v="326"/>
    <x v="10"/>
    <x v="10"/>
    <x v="3"/>
    <x v="47"/>
    <x v="4"/>
    <x v="4"/>
    <x v="2"/>
    <x v="3"/>
    <x v="5"/>
    <x v="0"/>
    <x v="3"/>
    <x v="0"/>
    <x v="3"/>
  </r>
  <r>
    <x v="327"/>
    <x v="10"/>
    <x v="10"/>
    <x v="3"/>
    <x v="47"/>
    <x v="5"/>
    <x v="10"/>
    <x v="17"/>
    <x v="22"/>
    <x v="1"/>
    <x v="13"/>
    <x v="133"/>
    <x v="0"/>
    <x v="133"/>
  </r>
  <r>
    <x v="328"/>
    <x v="10"/>
    <x v="10"/>
    <x v="3"/>
    <x v="47"/>
    <x v="6"/>
    <x v="15"/>
    <x v="50"/>
    <x v="0"/>
    <x v="0"/>
    <x v="13"/>
    <x v="10"/>
    <x v="0"/>
    <x v="10"/>
  </r>
  <r>
    <x v="329"/>
    <x v="10"/>
    <x v="10"/>
    <x v="3"/>
    <x v="47"/>
    <x v="0"/>
    <x v="10"/>
    <x v="8"/>
    <x v="7"/>
    <x v="4"/>
    <x v="23"/>
    <x v="142"/>
    <x v="0"/>
    <x v="142"/>
  </r>
  <r>
    <x v="330"/>
    <x v="10"/>
    <x v="10"/>
    <x v="3"/>
    <x v="47"/>
    <x v="1"/>
    <x v="0"/>
    <x v="0"/>
    <x v="0"/>
    <x v="0"/>
    <x v="0"/>
    <x v="0"/>
    <x v="0"/>
    <x v="0"/>
  </r>
  <r>
    <x v="331"/>
    <x v="10"/>
    <x v="10"/>
    <x v="3"/>
    <x v="47"/>
    <x v="2"/>
    <x v="0"/>
    <x v="0"/>
    <x v="0"/>
    <x v="0"/>
    <x v="0"/>
    <x v="0"/>
    <x v="0"/>
    <x v="0"/>
  </r>
  <r>
    <x v="332"/>
    <x v="10"/>
    <x v="10"/>
    <x v="3"/>
    <x v="48"/>
    <x v="3"/>
    <x v="0"/>
    <x v="0"/>
    <x v="0"/>
    <x v="0"/>
    <x v="0"/>
    <x v="0"/>
    <x v="0"/>
    <x v="0"/>
  </r>
  <r>
    <x v="333"/>
    <x v="10"/>
    <x v="10"/>
    <x v="3"/>
    <x v="48"/>
    <x v="4"/>
    <x v="4"/>
    <x v="22"/>
    <x v="16"/>
    <x v="1"/>
    <x v="0"/>
    <x v="18"/>
    <x v="0"/>
    <x v="18"/>
  </r>
  <r>
    <x v="334"/>
    <x v="11"/>
    <x v="11"/>
    <x v="3"/>
    <x v="48"/>
    <x v="5"/>
    <x v="1"/>
    <x v="1"/>
    <x v="0"/>
    <x v="0"/>
    <x v="28"/>
    <x v="152"/>
    <x v="0"/>
    <x v="152"/>
  </r>
  <r>
    <x v="335"/>
    <x v="11"/>
    <x v="11"/>
    <x v="3"/>
    <x v="48"/>
    <x v="6"/>
    <x v="18"/>
    <x v="0"/>
    <x v="21"/>
    <x v="5"/>
    <x v="21"/>
    <x v="89"/>
    <x v="0"/>
    <x v="89"/>
  </r>
  <r>
    <x v="336"/>
    <x v="11"/>
    <x v="11"/>
    <x v="3"/>
    <x v="48"/>
    <x v="0"/>
    <x v="31"/>
    <x v="14"/>
    <x v="0"/>
    <x v="1"/>
    <x v="29"/>
    <x v="153"/>
    <x v="0"/>
    <x v="153"/>
  </r>
  <r>
    <x v="337"/>
    <x v="11"/>
    <x v="11"/>
    <x v="3"/>
    <x v="48"/>
    <x v="1"/>
    <x v="20"/>
    <x v="12"/>
    <x v="0"/>
    <x v="0"/>
    <x v="21"/>
    <x v="154"/>
    <x v="0"/>
    <x v="154"/>
  </r>
  <r>
    <x v="338"/>
    <x v="11"/>
    <x v="11"/>
    <x v="3"/>
    <x v="48"/>
    <x v="2"/>
    <x v="0"/>
    <x v="0"/>
    <x v="0"/>
    <x v="0"/>
    <x v="0"/>
    <x v="0"/>
    <x v="0"/>
    <x v="0"/>
  </r>
  <r>
    <x v="339"/>
    <x v="11"/>
    <x v="11"/>
    <x v="3"/>
    <x v="49"/>
    <x v="3"/>
    <x v="0"/>
    <x v="0"/>
    <x v="0"/>
    <x v="0"/>
    <x v="0"/>
    <x v="0"/>
    <x v="0"/>
    <x v="0"/>
  </r>
  <r>
    <x v="340"/>
    <x v="11"/>
    <x v="11"/>
    <x v="3"/>
    <x v="49"/>
    <x v="4"/>
    <x v="3"/>
    <x v="18"/>
    <x v="22"/>
    <x v="1"/>
    <x v="13"/>
    <x v="47"/>
    <x v="0"/>
    <x v="47"/>
  </r>
  <r>
    <x v="341"/>
    <x v="11"/>
    <x v="11"/>
    <x v="3"/>
    <x v="49"/>
    <x v="5"/>
    <x v="6"/>
    <x v="17"/>
    <x v="12"/>
    <x v="3"/>
    <x v="0"/>
    <x v="3"/>
    <x v="0"/>
    <x v="3"/>
  </r>
  <r>
    <x v="342"/>
    <x v="11"/>
    <x v="11"/>
    <x v="3"/>
    <x v="49"/>
    <x v="6"/>
    <x v="22"/>
    <x v="26"/>
    <x v="3"/>
    <x v="3"/>
    <x v="3"/>
    <x v="47"/>
    <x v="0"/>
    <x v="47"/>
  </r>
  <r>
    <x v="343"/>
    <x v="11"/>
    <x v="11"/>
    <x v="3"/>
    <x v="49"/>
    <x v="0"/>
    <x v="15"/>
    <x v="41"/>
    <x v="0"/>
    <x v="6"/>
    <x v="0"/>
    <x v="155"/>
    <x v="0"/>
    <x v="155"/>
  </r>
  <r>
    <x v="344"/>
    <x v="11"/>
    <x v="11"/>
    <x v="3"/>
    <x v="49"/>
    <x v="1"/>
    <x v="5"/>
    <x v="6"/>
    <x v="0"/>
    <x v="0"/>
    <x v="11"/>
    <x v="29"/>
    <x v="0"/>
    <x v="29"/>
  </r>
  <r>
    <x v="345"/>
    <x v="11"/>
    <x v="11"/>
    <x v="3"/>
    <x v="49"/>
    <x v="2"/>
    <x v="0"/>
    <x v="0"/>
    <x v="0"/>
    <x v="0"/>
    <x v="0"/>
    <x v="0"/>
    <x v="0"/>
    <x v="0"/>
  </r>
  <r>
    <x v="346"/>
    <x v="11"/>
    <x v="11"/>
    <x v="3"/>
    <x v="50"/>
    <x v="3"/>
    <x v="0"/>
    <x v="0"/>
    <x v="0"/>
    <x v="0"/>
    <x v="0"/>
    <x v="0"/>
    <x v="0"/>
    <x v="0"/>
  </r>
  <r>
    <x v="347"/>
    <x v="11"/>
    <x v="11"/>
    <x v="3"/>
    <x v="50"/>
    <x v="4"/>
    <x v="0"/>
    <x v="51"/>
    <x v="0"/>
    <x v="1"/>
    <x v="0"/>
    <x v="156"/>
    <x v="0"/>
    <x v="156"/>
  </r>
  <r>
    <x v="348"/>
    <x v="11"/>
    <x v="11"/>
    <x v="3"/>
    <x v="50"/>
    <x v="5"/>
    <x v="10"/>
    <x v="19"/>
    <x v="0"/>
    <x v="4"/>
    <x v="3"/>
    <x v="54"/>
    <x v="0"/>
    <x v="54"/>
  </r>
  <r>
    <x v="349"/>
    <x v="11"/>
    <x v="11"/>
    <x v="3"/>
    <x v="50"/>
    <x v="6"/>
    <x v="11"/>
    <x v="52"/>
    <x v="0"/>
    <x v="5"/>
    <x v="3"/>
    <x v="82"/>
    <x v="0"/>
    <x v="82"/>
  </r>
  <r>
    <x v="350"/>
    <x v="11"/>
    <x v="11"/>
    <x v="3"/>
    <x v="50"/>
    <x v="0"/>
    <x v="10"/>
    <x v="25"/>
    <x v="0"/>
    <x v="0"/>
    <x v="1"/>
    <x v="7"/>
    <x v="0"/>
    <x v="7"/>
  </r>
  <r>
    <x v="351"/>
    <x v="11"/>
    <x v="11"/>
    <x v="3"/>
    <x v="50"/>
    <x v="1"/>
    <x v="1"/>
    <x v="36"/>
    <x v="0"/>
    <x v="4"/>
    <x v="0"/>
    <x v="87"/>
    <x v="0"/>
    <x v="87"/>
  </r>
  <r>
    <x v="352"/>
    <x v="11"/>
    <x v="11"/>
    <x v="3"/>
    <x v="50"/>
    <x v="2"/>
    <x v="0"/>
    <x v="0"/>
    <x v="0"/>
    <x v="0"/>
    <x v="0"/>
    <x v="0"/>
    <x v="0"/>
    <x v="0"/>
  </r>
  <r>
    <x v="353"/>
    <x v="11"/>
    <x v="11"/>
    <x v="3"/>
    <x v="51"/>
    <x v="3"/>
    <x v="0"/>
    <x v="0"/>
    <x v="0"/>
    <x v="0"/>
    <x v="0"/>
    <x v="0"/>
    <x v="0"/>
    <x v="0"/>
  </r>
  <r>
    <x v="354"/>
    <x v="11"/>
    <x v="11"/>
    <x v="3"/>
    <x v="51"/>
    <x v="4"/>
    <x v="1"/>
    <x v="18"/>
    <x v="0"/>
    <x v="0"/>
    <x v="0"/>
    <x v="157"/>
    <x v="0"/>
    <x v="157"/>
  </r>
  <r>
    <x v="355"/>
    <x v="11"/>
    <x v="11"/>
    <x v="3"/>
    <x v="51"/>
    <x v="5"/>
    <x v="14"/>
    <x v="0"/>
    <x v="8"/>
    <x v="0"/>
    <x v="0"/>
    <x v="158"/>
    <x v="0"/>
    <x v="158"/>
  </r>
  <r>
    <x v="356"/>
    <x v="11"/>
    <x v="11"/>
    <x v="3"/>
    <x v="51"/>
    <x v="6"/>
    <x v="4"/>
    <x v="14"/>
    <x v="18"/>
    <x v="2"/>
    <x v="2"/>
    <x v="61"/>
    <x v="0"/>
    <x v="61"/>
  </r>
  <r>
    <x v="357"/>
    <x v="11"/>
    <x v="11"/>
    <x v="3"/>
    <x v="51"/>
    <x v="0"/>
    <x v="3"/>
    <x v="53"/>
    <x v="0"/>
    <x v="2"/>
    <x v="0"/>
    <x v="14"/>
    <x v="0"/>
    <x v="14"/>
  </r>
  <r>
    <x v="358"/>
    <x v="11"/>
    <x v="11"/>
    <x v="3"/>
    <x v="51"/>
    <x v="1"/>
    <x v="11"/>
    <x v="48"/>
    <x v="0"/>
    <x v="5"/>
    <x v="0"/>
    <x v="159"/>
    <x v="0"/>
    <x v="159"/>
  </r>
  <r>
    <x v="359"/>
    <x v="11"/>
    <x v="11"/>
    <x v="3"/>
    <x v="51"/>
    <x v="2"/>
    <x v="0"/>
    <x v="0"/>
    <x v="0"/>
    <x v="0"/>
    <x v="0"/>
    <x v="0"/>
    <x v="0"/>
    <x v="0"/>
  </r>
  <r>
    <x v="360"/>
    <x v="11"/>
    <x v="11"/>
    <x v="3"/>
    <x v="52"/>
    <x v="3"/>
    <x v="0"/>
    <x v="0"/>
    <x v="0"/>
    <x v="0"/>
    <x v="0"/>
    <x v="0"/>
    <x v="0"/>
    <x v="0"/>
  </r>
  <r>
    <x v="361"/>
    <x v="11"/>
    <x v="11"/>
    <x v="3"/>
    <x v="52"/>
    <x v="4"/>
    <x v="4"/>
    <x v="35"/>
    <x v="18"/>
    <x v="0"/>
    <x v="13"/>
    <x v="160"/>
    <x v="0"/>
    <x v="160"/>
  </r>
  <r>
    <x v="362"/>
    <x v="11"/>
    <x v="11"/>
    <x v="3"/>
    <x v="52"/>
    <x v="5"/>
    <x v="0"/>
    <x v="16"/>
    <x v="3"/>
    <x v="1"/>
    <x v="2"/>
    <x v="30"/>
    <x v="0"/>
    <x v="30"/>
  </r>
  <r>
    <x v="363"/>
    <x v="11"/>
    <x v="11"/>
    <x v="3"/>
    <x v="52"/>
    <x v="6"/>
    <x v="11"/>
    <x v="18"/>
    <x v="21"/>
    <x v="0"/>
    <x v="7"/>
    <x v="161"/>
    <x v="0"/>
    <x v="161"/>
  </r>
  <r>
    <x v="364"/>
    <x v="11"/>
    <x v="11"/>
    <x v="3"/>
    <x v="52"/>
    <x v="0"/>
    <x v="13"/>
    <x v="18"/>
    <x v="9"/>
    <x v="0"/>
    <x v="3"/>
    <x v="100"/>
    <x v="0"/>
    <x v="1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5149.5"/>
  </r>
  <r>
    <x v="1"/>
    <n v="38015.5"/>
  </r>
  <r>
    <x v="2"/>
    <n v="17249.5"/>
  </r>
  <r>
    <x v="3"/>
    <n v="2618"/>
  </r>
  <r>
    <x v="4"/>
    <n v="1149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8" minRefreshableVersion="3" createdVersion="8" compact="0" indent="0" compactData="0" showDrill="1" multipleFieldFilters="0" chartFormat="1">
  <location ref="Y19:Z25" firstHeaderRow="1" firstDataRow="1" firstDataCol="1"/>
  <pivotFields count="2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dataField="1" compact="0" outline="0" numFmtId="18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" fld="1" baseField="0" baseItem="0" numFmtId="180"/>
  </dataFields>
  <formats count="4">
    <format dxfId="0">
      <pivotArea dataOnly="0" labelOnly="1" grandRow="1" fieldPosition="0"/>
    </format>
    <format dxfId="1">
      <pivotArea grandRow="1" collapsedLevelsAreSubtotals="1" fieldPosition="0"/>
    </format>
    <format dxfId="2">
      <pivotArea dataOnly="0" labelOnly="1" grandRow="1" fieldPosition="0"/>
    </format>
    <format dxfId="3">
      <pivotArea grandRow="1" collapsedLevelsAreSubtotals="1" fieldPosition="0"/>
    </format>
  </format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">
  <location ref="U28:V36" firstHeaderRow="1" firstDataRow="1" firstDataCol="1"/>
  <pivotFields count="14">
    <pivotField compact="0" numFmtId="5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8">
        <item x="3"/>
        <item x="4"/>
        <item x="5"/>
        <item x="6"/>
        <item x="0"/>
        <item x="1"/>
        <item x="2"/>
        <item t="default"/>
      </items>
    </pivotField>
    <pivotField compact="0" numFmtId="2" showAll="0">
      <items count="34">
        <item x="0"/>
        <item x="16"/>
        <item x="5"/>
        <item x="14"/>
        <item x="9"/>
        <item x="20"/>
        <item x="24"/>
        <item x="7"/>
        <item x="15"/>
        <item x="6"/>
        <item x="3"/>
        <item x="12"/>
        <item x="25"/>
        <item x="8"/>
        <item x="1"/>
        <item x="11"/>
        <item x="29"/>
        <item x="32"/>
        <item x="2"/>
        <item x="4"/>
        <item x="21"/>
        <item x="22"/>
        <item x="28"/>
        <item x="10"/>
        <item x="18"/>
        <item x="13"/>
        <item x="23"/>
        <item x="26"/>
        <item x="31"/>
        <item x="27"/>
        <item x="17"/>
        <item x="19"/>
        <item x="30"/>
        <item t="default"/>
      </items>
    </pivotField>
    <pivotField compact="0" numFmtId="2" showAll="0">
      <items count="55">
        <item x="0"/>
        <item x="28"/>
        <item x="46"/>
        <item x="43"/>
        <item x="38"/>
        <item x="42"/>
        <item x="40"/>
        <item x="50"/>
        <item x="32"/>
        <item x="37"/>
        <item x="41"/>
        <item x="3"/>
        <item x="12"/>
        <item x="51"/>
        <item x="4"/>
        <item x="20"/>
        <item x="44"/>
        <item x="27"/>
        <item x="11"/>
        <item x="9"/>
        <item x="21"/>
        <item x="16"/>
        <item x="30"/>
        <item x="6"/>
        <item x="8"/>
        <item x="7"/>
        <item x="5"/>
        <item x="22"/>
        <item x="10"/>
        <item x="26"/>
        <item x="14"/>
        <item x="2"/>
        <item x="25"/>
        <item x="1"/>
        <item x="17"/>
        <item x="34"/>
        <item x="19"/>
        <item x="24"/>
        <item x="52"/>
        <item x="39"/>
        <item x="18"/>
        <item x="36"/>
        <item x="13"/>
        <item x="15"/>
        <item x="23"/>
        <item x="45"/>
        <item x="53"/>
        <item x="33"/>
        <item x="29"/>
        <item x="49"/>
        <item x="48"/>
        <item x="35"/>
        <item x="47"/>
        <item x="31"/>
        <item t="default"/>
      </items>
    </pivotField>
    <pivotField compact="0" numFmtId="2" showAll="0">
      <items count="27">
        <item x="0"/>
        <item x="20"/>
        <item x="17"/>
        <item x="22"/>
        <item x="13"/>
        <item x="10"/>
        <item x="7"/>
        <item x="4"/>
        <item x="1"/>
        <item x="11"/>
        <item x="8"/>
        <item x="2"/>
        <item x="16"/>
        <item x="5"/>
        <item x="3"/>
        <item x="12"/>
        <item x="18"/>
        <item x="6"/>
        <item x="21"/>
        <item x="9"/>
        <item x="25"/>
        <item x="19"/>
        <item x="23"/>
        <item x="24"/>
        <item x="14"/>
        <item x="15"/>
        <item t="default"/>
      </items>
    </pivotField>
    <pivotField compact="0" numFmtId="2" showAll="0">
      <items count="8">
        <item x="0"/>
        <item x="5"/>
        <item x="6"/>
        <item x="3"/>
        <item x="2"/>
        <item x="4"/>
        <item x="1"/>
        <item t="default"/>
      </items>
    </pivotField>
    <pivotField compact="0" numFmtId="2" showAll="0">
      <items count="31">
        <item x="0"/>
        <item x="10"/>
        <item x="27"/>
        <item x="5"/>
        <item x="9"/>
        <item x="11"/>
        <item x="4"/>
        <item x="16"/>
        <item x="7"/>
        <item x="18"/>
        <item x="12"/>
        <item x="6"/>
        <item x="2"/>
        <item x="28"/>
        <item x="14"/>
        <item x="24"/>
        <item x="20"/>
        <item x="3"/>
        <item x="8"/>
        <item x="25"/>
        <item x="29"/>
        <item x="15"/>
        <item x="13"/>
        <item x="19"/>
        <item x="21"/>
        <item x="1"/>
        <item x="23"/>
        <item x="26"/>
        <item x="17"/>
        <item x="22"/>
        <item t="default"/>
      </items>
    </pivotField>
    <pivotField dataField="1" compact="0" showAll="0">
      <items count="163">
        <item x="0"/>
        <item x="1"/>
        <item x="90"/>
        <item x="148"/>
        <item x="158"/>
        <item x="140"/>
        <item x="68"/>
        <item x="116"/>
        <item x="108"/>
        <item x="156"/>
        <item x="113"/>
        <item x="155"/>
        <item x="134"/>
        <item x="138"/>
        <item x="21"/>
        <item x="62"/>
        <item x="2"/>
        <item x="91"/>
        <item x="114"/>
        <item x="74"/>
        <item x="41"/>
        <item x="10"/>
        <item x="151"/>
        <item x="111"/>
        <item x="117"/>
        <item x="95"/>
        <item x="34"/>
        <item x="29"/>
        <item x="24"/>
        <item x="11"/>
        <item x="52"/>
        <item x="128"/>
        <item x="85"/>
        <item x="98"/>
        <item x="75"/>
        <item x="141"/>
        <item x="154"/>
        <item x="55"/>
        <item x="120"/>
        <item x="59"/>
        <item x="144"/>
        <item x="119"/>
        <item x="115"/>
        <item x="135"/>
        <item x="50"/>
        <item x="43"/>
        <item x="107"/>
        <item x="69"/>
        <item x="80"/>
        <item x="16"/>
        <item x="73"/>
        <item x="19"/>
        <item x="150"/>
        <item x="70"/>
        <item x="15"/>
        <item x="51"/>
        <item x="136"/>
        <item x="121"/>
        <item x="13"/>
        <item x="157"/>
        <item x="131"/>
        <item x="83"/>
        <item x="12"/>
        <item x="130"/>
        <item x="8"/>
        <item x="6"/>
        <item x="106"/>
        <item x="25"/>
        <item x="152"/>
        <item x="84"/>
        <item x="105"/>
        <item x="97"/>
        <item x="27"/>
        <item x="65"/>
        <item x="87"/>
        <item x="44"/>
        <item x="93"/>
        <item x="89"/>
        <item x="124"/>
        <item x="30"/>
        <item x="14"/>
        <item x="5"/>
        <item x="33"/>
        <item x="79"/>
        <item x="81"/>
        <item x="125"/>
        <item x="99"/>
        <item x="118"/>
        <item x="129"/>
        <item x="159"/>
        <item x="23"/>
        <item x="26"/>
        <item x="82"/>
        <item x="38"/>
        <item x="20"/>
        <item x="35"/>
        <item x="48"/>
        <item x="18"/>
        <item x="127"/>
        <item x="49"/>
        <item x="31"/>
        <item x="7"/>
        <item x="3"/>
        <item x="92"/>
        <item x="22"/>
        <item x="9"/>
        <item x="54"/>
        <item x="17"/>
        <item x="4"/>
        <item x="56"/>
        <item x="46"/>
        <item x="153"/>
        <item x="45"/>
        <item x="86"/>
        <item x="60"/>
        <item x="39"/>
        <item x="36"/>
        <item x="149"/>
        <item x="101"/>
        <item x="88"/>
        <item x="66"/>
        <item x="64"/>
        <item x="53"/>
        <item x="63"/>
        <item x="102"/>
        <item x="57"/>
        <item x="77"/>
        <item x="61"/>
        <item x="126"/>
        <item x="47"/>
        <item x="67"/>
        <item x="133"/>
        <item x="110"/>
        <item x="142"/>
        <item x="161"/>
        <item x="78"/>
        <item x="123"/>
        <item x="147"/>
        <item x="58"/>
        <item x="104"/>
        <item x="71"/>
        <item x="96"/>
        <item x="32"/>
        <item x="72"/>
        <item x="109"/>
        <item x="132"/>
        <item x="112"/>
        <item x="122"/>
        <item x="103"/>
        <item x="40"/>
        <item x="100"/>
        <item x="28"/>
        <item x="143"/>
        <item x="137"/>
        <item x="146"/>
        <item x="145"/>
        <item x="42"/>
        <item x="160"/>
        <item x="94"/>
        <item x="76"/>
        <item x="139"/>
        <item x="37"/>
        <item t="default"/>
      </items>
    </pivotField>
    <pivotField compact="0" numFmtId="182" showAll="0">
      <items count="2">
        <item x="0"/>
        <item t="default"/>
      </items>
    </pivotField>
    <pivotField compact="0" numFmtId="182" showAll="0">
      <items count="163">
        <item x="1"/>
        <item x="90"/>
        <item x="148"/>
        <item x="158"/>
        <item x="140"/>
        <item x="68"/>
        <item x="116"/>
        <item x="108"/>
        <item x="156"/>
        <item x="113"/>
        <item x="155"/>
        <item x="134"/>
        <item x="138"/>
        <item x="21"/>
        <item x="62"/>
        <item x="2"/>
        <item x="91"/>
        <item x="114"/>
        <item x="74"/>
        <item x="41"/>
        <item x="10"/>
        <item x="151"/>
        <item x="111"/>
        <item x="117"/>
        <item x="95"/>
        <item x="34"/>
        <item x="29"/>
        <item x="24"/>
        <item x="11"/>
        <item x="52"/>
        <item x="128"/>
        <item x="85"/>
        <item x="98"/>
        <item x="75"/>
        <item x="141"/>
        <item x="154"/>
        <item x="55"/>
        <item x="120"/>
        <item x="59"/>
        <item x="144"/>
        <item x="119"/>
        <item x="115"/>
        <item x="135"/>
        <item x="50"/>
        <item x="43"/>
        <item x="107"/>
        <item x="69"/>
        <item x="80"/>
        <item x="16"/>
        <item x="73"/>
        <item x="19"/>
        <item x="150"/>
        <item x="70"/>
        <item x="15"/>
        <item x="51"/>
        <item x="136"/>
        <item x="121"/>
        <item x="13"/>
        <item x="157"/>
        <item x="131"/>
        <item x="83"/>
        <item x="12"/>
        <item x="0"/>
        <item x="130"/>
        <item x="8"/>
        <item x="6"/>
        <item x="106"/>
        <item x="25"/>
        <item x="152"/>
        <item x="84"/>
        <item x="105"/>
        <item x="97"/>
        <item x="27"/>
        <item x="65"/>
        <item x="87"/>
        <item x="44"/>
        <item x="93"/>
        <item x="89"/>
        <item x="124"/>
        <item x="30"/>
        <item x="14"/>
        <item x="5"/>
        <item x="33"/>
        <item x="79"/>
        <item x="81"/>
        <item x="125"/>
        <item x="99"/>
        <item x="118"/>
        <item x="129"/>
        <item x="159"/>
        <item x="23"/>
        <item x="26"/>
        <item x="82"/>
        <item x="38"/>
        <item x="20"/>
        <item x="35"/>
        <item x="48"/>
        <item x="18"/>
        <item x="127"/>
        <item x="49"/>
        <item x="31"/>
        <item x="7"/>
        <item x="3"/>
        <item x="92"/>
        <item x="22"/>
        <item x="9"/>
        <item x="54"/>
        <item x="17"/>
        <item x="4"/>
        <item x="56"/>
        <item x="46"/>
        <item x="153"/>
        <item x="45"/>
        <item x="86"/>
        <item x="60"/>
        <item x="39"/>
        <item x="36"/>
        <item x="149"/>
        <item x="101"/>
        <item x="88"/>
        <item x="66"/>
        <item x="64"/>
        <item x="53"/>
        <item x="63"/>
        <item x="102"/>
        <item x="57"/>
        <item x="77"/>
        <item x="61"/>
        <item x="126"/>
        <item x="47"/>
        <item x="67"/>
        <item x="133"/>
        <item x="110"/>
        <item x="142"/>
        <item x="161"/>
        <item x="78"/>
        <item x="123"/>
        <item x="147"/>
        <item x="58"/>
        <item x="104"/>
        <item x="71"/>
        <item x="96"/>
        <item x="32"/>
        <item x="72"/>
        <item x="109"/>
        <item x="132"/>
        <item x="112"/>
        <item x="122"/>
        <item x="103"/>
        <item x="40"/>
        <item x="100"/>
        <item x="28"/>
        <item x="143"/>
        <item x="137"/>
        <item x="146"/>
        <item x="145"/>
        <item x="42"/>
        <item x="160"/>
        <item x="94"/>
        <item x="76"/>
        <item x="139"/>
        <item x="37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Income" fld="11" baseField="0" baseItem="0"/>
  </dataFields>
  <formats count="2">
    <format dxfId="4">
      <pivotArea field="5" type="button" dataOnly="0" labelOnly="1" outline="0" fieldPosition="0"/>
    </format>
    <format dxfId="5">
      <pivotArea field="5" type="button"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">
  <location ref="U39:W52" firstHeaderRow="0" firstDataRow="1" firstDataCol="1"/>
  <pivotFields count="14">
    <pivotField compact="0" numFmtId="5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8">
        <item x="3"/>
        <item x="4"/>
        <item x="5"/>
        <item x="6"/>
        <item x="0"/>
        <item x="1"/>
        <item x="2"/>
        <item t="default"/>
      </items>
    </pivotField>
    <pivotField compact="0" numFmtId="2" showAll="0">
      <items count="34">
        <item x="0"/>
        <item x="16"/>
        <item x="5"/>
        <item x="14"/>
        <item x="9"/>
        <item x="20"/>
        <item x="24"/>
        <item x="7"/>
        <item x="15"/>
        <item x="6"/>
        <item x="3"/>
        <item x="12"/>
        <item x="25"/>
        <item x="8"/>
        <item x="1"/>
        <item x="11"/>
        <item x="29"/>
        <item x="32"/>
        <item x="2"/>
        <item x="4"/>
        <item x="21"/>
        <item x="22"/>
        <item x="28"/>
        <item x="10"/>
        <item x="18"/>
        <item x="13"/>
        <item x="23"/>
        <item x="26"/>
        <item x="31"/>
        <item x="27"/>
        <item x="17"/>
        <item x="19"/>
        <item x="30"/>
        <item t="default"/>
      </items>
    </pivotField>
    <pivotField compact="0" numFmtId="2" showAll="0">
      <items count="55">
        <item x="0"/>
        <item x="28"/>
        <item x="46"/>
        <item x="43"/>
        <item x="38"/>
        <item x="42"/>
        <item x="40"/>
        <item x="50"/>
        <item x="32"/>
        <item x="37"/>
        <item x="41"/>
        <item x="3"/>
        <item x="12"/>
        <item x="51"/>
        <item x="4"/>
        <item x="20"/>
        <item x="44"/>
        <item x="27"/>
        <item x="11"/>
        <item x="9"/>
        <item x="21"/>
        <item x="16"/>
        <item x="30"/>
        <item x="6"/>
        <item x="8"/>
        <item x="7"/>
        <item x="5"/>
        <item x="22"/>
        <item x="10"/>
        <item x="26"/>
        <item x="14"/>
        <item x="2"/>
        <item x="25"/>
        <item x="1"/>
        <item x="17"/>
        <item x="34"/>
        <item x="19"/>
        <item x="24"/>
        <item x="52"/>
        <item x="39"/>
        <item x="18"/>
        <item x="36"/>
        <item x="13"/>
        <item x="15"/>
        <item x="23"/>
        <item x="45"/>
        <item x="53"/>
        <item x="33"/>
        <item x="29"/>
        <item x="49"/>
        <item x="48"/>
        <item x="35"/>
        <item x="47"/>
        <item x="31"/>
        <item t="default"/>
      </items>
    </pivotField>
    <pivotField compact="0" numFmtId="2" showAll="0">
      <items count="27">
        <item x="0"/>
        <item x="20"/>
        <item x="17"/>
        <item x="22"/>
        <item x="13"/>
        <item x="10"/>
        <item x="7"/>
        <item x="4"/>
        <item x="1"/>
        <item x="11"/>
        <item x="8"/>
        <item x="2"/>
        <item x="16"/>
        <item x="5"/>
        <item x="3"/>
        <item x="12"/>
        <item x="18"/>
        <item x="6"/>
        <item x="21"/>
        <item x="9"/>
        <item x="25"/>
        <item x="19"/>
        <item x="23"/>
        <item x="24"/>
        <item x="14"/>
        <item x="15"/>
        <item t="default"/>
      </items>
    </pivotField>
    <pivotField compact="0" numFmtId="2" showAll="0">
      <items count="8">
        <item x="0"/>
        <item x="5"/>
        <item x="6"/>
        <item x="3"/>
        <item x="2"/>
        <item x="4"/>
        <item x="1"/>
        <item t="default"/>
      </items>
    </pivotField>
    <pivotField compact="0" numFmtId="2" showAll="0">
      <items count="31">
        <item x="0"/>
        <item x="10"/>
        <item x="27"/>
        <item x="5"/>
        <item x="9"/>
        <item x="11"/>
        <item x="4"/>
        <item x="16"/>
        <item x="7"/>
        <item x="18"/>
        <item x="12"/>
        <item x="6"/>
        <item x="2"/>
        <item x="28"/>
        <item x="14"/>
        <item x="24"/>
        <item x="20"/>
        <item x="3"/>
        <item x="8"/>
        <item x="25"/>
        <item x="29"/>
        <item x="15"/>
        <item x="13"/>
        <item x="19"/>
        <item x="21"/>
        <item x="1"/>
        <item x="23"/>
        <item x="26"/>
        <item x="17"/>
        <item x="22"/>
        <item t="default"/>
      </items>
    </pivotField>
    <pivotField dataField="1" compact="0" numFmtId="182" showAll="0">
      <items count="163">
        <item x="0"/>
        <item x="1"/>
        <item x="90"/>
        <item x="148"/>
        <item x="158"/>
        <item x="140"/>
        <item x="68"/>
        <item x="116"/>
        <item x="108"/>
        <item x="156"/>
        <item x="113"/>
        <item x="155"/>
        <item x="134"/>
        <item x="138"/>
        <item x="21"/>
        <item x="62"/>
        <item x="2"/>
        <item x="91"/>
        <item x="114"/>
        <item x="74"/>
        <item x="41"/>
        <item x="10"/>
        <item x="151"/>
        <item x="111"/>
        <item x="117"/>
        <item x="95"/>
        <item x="34"/>
        <item x="29"/>
        <item x="24"/>
        <item x="11"/>
        <item x="52"/>
        <item x="128"/>
        <item x="85"/>
        <item x="98"/>
        <item x="75"/>
        <item x="141"/>
        <item x="154"/>
        <item x="55"/>
        <item x="120"/>
        <item x="59"/>
        <item x="144"/>
        <item x="119"/>
        <item x="115"/>
        <item x="135"/>
        <item x="50"/>
        <item x="43"/>
        <item x="107"/>
        <item x="69"/>
        <item x="80"/>
        <item x="16"/>
        <item x="73"/>
        <item x="19"/>
        <item x="150"/>
        <item x="70"/>
        <item x="15"/>
        <item x="51"/>
        <item x="136"/>
        <item x="121"/>
        <item x="13"/>
        <item x="157"/>
        <item x="131"/>
        <item x="83"/>
        <item x="12"/>
        <item x="130"/>
        <item x="8"/>
        <item x="6"/>
        <item x="106"/>
        <item x="25"/>
        <item x="152"/>
        <item x="84"/>
        <item x="105"/>
        <item x="97"/>
        <item x="27"/>
        <item x="65"/>
        <item x="87"/>
        <item x="44"/>
        <item x="93"/>
        <item x="89"/>
        <item x="124"/>
        <item x="30"/>
        <item x="14"/>
        <item x="5"/>
        <item x="33"/>
        <item x="79"/>
        <item x="81"/>
        <item x="125"/>
        <item x="99"/>
        <item x="118"/>
        <item x="129"/>
        <item x="159"/>
        <item x="23"/>
        <item x="26"/>
        <item x="82"/>
        <item x="38"/>
        <item x="20"/>
        <item x="35"/>
        <item x="48"/>
        <item x="18"/>
        <item x="127"/>
        <item x="49"/>
        <item x="31"/>
        <item x="7"/>
        <item x="3"/>
        <item x="92"/>
        <item x="22"/>
        <item x="9"/>
        <item x="54"/>
        <item x="17"/>
        <item x="4"/>
        <item x="56"/>
        <item x="46"/>
        <item x="153"/>
        <item x="45"/>
        <item x="86"/>
        <item x="60"/>
        <item x="39"/>
        <item x="36"/>
        <item x="149"/>
        <item x="101"/>
        <item x="88"/>
        <item x="66"/>
        <item x="64"/>
        <item x="53"/>
        <item x="63"/>
        <item x="102"/>
        <item x="57"/>
        <item x="77"/>
        <item x="61"/>
        <item x="126"/>
        <item x="47"/>
        <item x="67"/>
        <item x="133"/>
        <item x="110"/>
        <item x="142"/>
        <item x="161"/>
        <item x="78"/>
        <item x="123"/>
        <item x="147"/>
        <item x="58"/>
        <item x="104"/>
        <item x="71"/>
        <item x="96"/>
        <item x="32"/>
        <item x="72"/>
        <item x="109"/>
        <item x="132"/>
        <item x="112"/>
        <item x="122"/>
        <item x="103"/>
        <item x="40"/>
        <item x="100"/>
        <item x="28"/>
        <item x="143"/>
        <item x="137"/>
        <item x="146"/>
        <item x="145"/>
        <item x="42"/>
        <item x="160"/>
        <item x="94"/>
        <item x="76"/>
        <item x="139"/>
        <item x="37"/>
        <item t="default"/>
      </items>
    </pivotField>
    <pivotField dataField="1" compact="0" numFmtId="182" showAll="0">
      <items count="2">
        <item x="0"/>
        <item t="default"/>
      </items>
    </pivotField>
    <pivotField compact="0" numFmtId="182" showAll="0">
      <items count="163">
        <item x="1"/>
        <item x="90"/>
        <item x="148"/>
        <item x="158"/>
        <item x="140"/>
        <item x="68"/>
        <item x="116"/>
        <item x="108"/>
        <item x="156"/>
        <item x="113"/>
        <item x="155"/>
        <item x="134"/>
        <item x="138"/>
        <item x="21"/>
        <item x="62"/>
        <item x="2"/>
        <item x="91"/>
        <item x="114"/>
        <item x="74"/>
        <item x="41"/>
        <item x="10"/>
        <item x="151"/>
        <item x="111"/>
        <item x="117"/>
        <item x="95"/>
        <item x="34"/>
        <item x="29"/>
        <item x="24"/>
        <item x="11"/>
        <item x="52"/>
        <item x="128"/>
        <item x="85"/>
        <item x="98"/>
        <item x="75"/>
        <item x="141"/>
        <item x="154"/>
        <item x="55"/>
        <item x="120"/>
        <item x="59"/>
        <item x="144"/>
        <item x="119"/>
        <item x="115"/>
        <item x="135"/>
        <item x="50"/>
        <item x="43"/>
        <item x="107"/>
        <item x="69"/>
        <item x="80"/>
        <item x="16"/>
        <item x="73"/>
        <item x="19"/>
        <item x="150"/>
        <item x="70"/>
        <item x="15"/>
        <item x="51"/>
        <item x="136"/>
        <item x="121"/>
        <item x="13"/>
        <item x="157"/>
        <item x="131"/>
        <item x="83"/>
        <item x="12"/>
        <item x="0"/>
        <item x="130"/>
        <item x="8"/>
        <item x="6"/>
        <item x="106"/>
        <item x="25"/>
        <item x="152"/>
        <item x="84"/>
        <item x="105"/>
        <item x="97"/>
        <item x="27"/>
        <item x="65"/>
        <item x="87"/>
        <item x="44"/>
        <item x="93"/>
        <item x="89"/>
        <item x="124"/>
        <item x="30"/>
        <item x="14"/>
        <item x="5"/>
        <item x="33"/>
        <item x="79"/>
        <item x="81"/>
        <item x="125"/>
        <item x="99"/>
        <item x="118"/>
        <item x="129"/>
        <item x="159"/>
        <item x="23"/>
        <item x="26"/>
        <item x="82"/>
        <item x="38"/>
        <item x="20"/>
        <item x="35"/>
        <item x="48"/>
        <item x="18"/>
        <item x="127"/>
        <item x="49"/>
        <item x="31"/>
        <item x="7"/>
        <item x="3"/>
        <item x="92"/>
        <item x="22"/>
        <item x="9"/>
        <item x="54"/>
        <item x="17"/>
        <item x="4"/>
        <item x="56"/>
        <item x="46"/>
        <item x="153"/>
        <item x="45"/>
        <item x="86"/>
        <item x="60"/>
        <item x="39"/>
        <item x="36"/>
        <item x="149"/>
        <item x="101"/>
        <item x="88"/>
        <item x="66"/>
        <item x="64"/>
        <item x="53"/>
        <item x="63"/>
        <item x="102"/>
        <item x="57"/>
        <item x="77"/>
        <item x="61"/>
        <item x="126"/>
        <item x="47"/>
        <item x="67"/>
        <item x="133"/>
        <item x="110"/>
        <item x="142"/>
        <item x="161"/>
        <item x="78"/>
        <item x="123"/>
        <item x="147"/>
        <item x="58"/>
        <item x="104"/>
        <item x="71"/>
        <item x="96"/>
        <item x="32"/>
        <item x="72"/>
        <item x="109"/>
        <item x="132"/>
        <item x="112"/>
        <item x="122"/>
        <item x="103"/>
        <item x="40"/>
        <item x="100"/>
        <item x="28"/>
        <item x="143"/>
        <item x="137"/>
        <item x="146"/>
        <item x="145"/>
        <item x="42"/>
        <item x="160"/>
        <item x="94"/>
        <item x="76"/>
        <item x="139"/>
        <item x="37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get" fld="12" baseField="0" baseItem="0"/>
    <dataField name="Sum of Total Income" fld="11" baseField="0" baseItem="0"/>
  </dataFields>
  <formats count="8">
    <format dxfId="6">
      <pivotArea dataOnly="0" labelOnly="1" fieldPosition="0">
        <references count="1">
          <reference field="1" count="1">
            <x v="2"/>
          </reference>
        </references>
      </pivotArea>
    </format>
    <format dxfId="7">
      <pivotArea collapsedLevelsAreSubtotals="1" fieldPosition="0">
        <references count="1">
          <reference field="1" count="1" selected="0">
            <x v="2"/>
          </reference>
        </references>
      </pivotArea>
    </format>
    <format dxfId="8">
      <pivotArea dataOnly="0" labelOnly="1" fieldPosition="0">
        <references count="1">
          <reference field="1" count="1">
            <x v="2"/>
          </reference>
        </references>
      </pivotArea>
    </format>
    <format dxfId="9">
      <pivotArea collapsedLevelsAreSubtotals="1" fieldPosition="0">
        <references count="1">
          <reference field="1" count="1" selected="0">
            <x v="2"/>
          </reference>
        </references>
      </pivotArea>
    </format>
    <format dxfId="10">
      <pivotArea dataOnly="0" labelOnly="1" fieldPosition="0">
        <references count="1">
          <reference field="1" count="1">
            <x v="1"/>
          </reference>
        </references>
      </pivotArea>
    </format>
    <format dxfId="11">
      <pivotArea collapsedLevelsAreSubtotals="1" fieldPosition="0">
        <references count="1">
          <reference field="1" count="1" selected="0">
            <x v="1"/>
          </reference>
        </references>
      </pivotArea>
    </format>
    <format dxfId="12">
      <pivotArea dataOnly="0" labelOnly="1" fieldPosition="0">
        <references count="1">
          <reference field="1" count="1">
            <x v="1"/>
          </reference>
        </references>
      </pivotArea>
    </format>
    <format dxfId="13">
      <pivotArea collapsedLevelsAreSubtotals="1" fieldPosition="0">
        <references count="1">
          <reference field="1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">
  <location ref="U8:W21" firstHeaderRow="0" firstDataRow="1" firstDataCol="1"/>
  <pivotFields count="14">
    <pivotField compact="0" numFmtId="5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8">
        <item x="3"/>
        <item x="4"/>
        <item x="5"/>
        <item x="6"/>
        <item x="0"/>
        <item x="1"/>
        <item x="2"/>
        <item t="default"/>
      </items>
    </pivotField>
    <pivotField compact="0" numFmtId="2" showAll="0">
      <items count="34">
        <item x="0"/>
        <item x="16"/>
        <item x="5"/>
        <item x="14"/>
        <item x="9"/>
        <item x="20"/>
        <item x="24"/>
        <item x="7"/>
        <item x="15"/>
        <item x="6"/>
        <item x="3"/>
        <item x="12"/>
        <item x="25"/>
        <item x="8"/>
        <item x="1"/>
        <item x="11"/>
        <item x="29"/>
        <item x="32"/>
        <item x="2"/>
        <item x="4"/>
        <item x="21"/>
        <item x="22"/>
        <item x="28"/>
        <item x="10"/>
        <item x="18"/>
        <item x="13"/>
        <item x="23"/>
        <item x="26"/>
        <item x="31"/>
        <item x="27"/>
        <item x="17"/>
        <item x="19"/>
        <item x="30"/>
        <item t="default"/>
      </items>
    </pivotField>
    <pivotField compact="0" numFmtId="2" showAll="0">
      <items count="55">
        <item x="0"/>
        <item x="28"/>
        <item x="46"/>
        <item x="43"/>
        <item x="38"/>
        <item x="42"/>
        <item x="40"/>
        <item x="50"/>
        <item x="32"/>
        <item x="37"/>
        <item x="41"/>
        <item x="3"/>
        <item x="12"/>
        <item x="51"/>
        <item x="4"/>
        <item x="20"/>
        <item x="44"/>
        <item x="27"/>
        <item x="11"/>
        <item x="9"/>
        <item x="21"/>
        <item x="16"/>
        <item x="30"/>
        <item x="6"/>
        <item x="8"/>
        <item x="7"/>
        <item x="5"/>
        <item x="22"/>
        <item x="10"/>
        <item x="26"/>
        <item x="14"/>
        <item x="2"/>
        <item x="25"/>
        <item x="1"/>
        <item x="17"/>
        <item x="34"/>
        <item x="19"/>
        <item x="24"/>
        <item x="52"/>
        <item x="39"/>
        <item x="18"/>
        <item x="36"/>
        <item x="13"/>
        <item x="15"/>
        <item x="23"/>
        <item x="45"/>
        <item x="53"/>
        <item x="33"/>
        <item x="29"/>
        <item x="49"/>
        <item x="48"/>
        <item x="35"/>
        <item x="47"/>
        <item x="31"/>
        <item t="default"/>
      </items>
    </pivotField>
    <pivotField compact="0" numFmtId="2" showAll="0">
      <items count="27">
        <item x="0"/>
        <item x="20"/>
        <item x="17"/>
        <item x="22"/>
        <item x="13"/>
        <item x="10"/>
        <item x="7"/>
        <item x="4"/>
        <item x="1"/>
        <item x="11"/>
        <item x="8"/>
        <item x="2"/>
        <item x="16"/>
        <item x="5"/>
        <item x="3"/>
        <item x="12"/>
        <item x="18"/>
        <item x="6"/>
        <item x="21"/>
        <item x="9"/>
        <item x="25"/>
        <item x="19"/>
        <item x="23"/>
        <item x="24"/>
        <item x="14"/>
        <item x="15"/>
        <item t="default"/>
      </items>
    </pivotField>
    <pivotField compact="0" numFmtId="2" showAll="0">
      <items count="8">
        <item x="0"/>
        <item x="5"/>
        <item x="6"/>
        <item x="3"/>
        <item x="2"/>
        <item x="4"/>
        <item x="1"/>
        <item t="default"/>
      </items>
    </pivotField>
    <pivotField compact="0" numFmtId="2" showAll="0">
      <items count="31">
        <item x="0"/>
        <item x="10"/>
        <item x="27"/>
        <item x="5"/>
        <item x="9"/>
        <item x="11"/>
        <item x="4"/>
        <item x="16"/>
        <item x="7"/>
        <item x="18"/>
        <item x="12"/>
        <item x="6"/>
        <item x="2"/>
        <item x="28"/>
        <item x="14"/>
        <item x="24"/>
        <item x="20"/>
        <item x="3"/>
        <item x="8"/>
        <item x="25"/>
        <item x="29"/>
        <item x="15"/>
        <item x="13"/>
        <item x="19"/>
        <item x="21"/>
        <item x="1"/>
        <item x="23"/>
        <item x="26"/>
        <item x="17"/>
        <item x="22"/>
        <item t="default"/>
      </items>
    </pivotField>
    <pivotField dataField="1" compact="0" showAll="0">
      <items count="163">
        <item x="0"/>
        <item x="1"/>
        <item x="90"/>
        <item x="148"/>
        <item x="158"/>
        <item x="140"/>
        <item x="68"/>
        <item x="116"/>
        <item x="108"/>
        <item x="156"/>
        <item x="113"/>
        <item x="155"/>
        <item x="134"/>
        <item x="138"/>
        <item x="21"/>
        <item x="62"/>
        <item x="2"/>
        <item x="91"/>
        <item x="114"/>
        <item x="74"/>
        <item x="41"/>
        <item x="10"/>
        <item x="151"/>
        <item x="111"/>
        <item x="117"/>
        <item x="95"/>
        <item x="34"/>
        <item x="29"/>
        <item x="24"/>
        <item x="11"/>
        <item x="52"/>
        <item x="128"/>
        <item x="85"/>
        <item x="98"/>
        <item x="75"/>
        <item x="141"/>
        <item x="154"/>
        <item x="55"/>
        <item x="120"/>
        <item x="59"/>
        <item x="144"/>
        <item x="119"/>
        <item x="115"/>
        <item x="135"/>
        <item x="50"/>
        <item x="43"/>
        <item x="107"/>
        <item x="69"/>
        <item x="80"/>
        <item x="16"/>
        <item x="73"/>
        <item x="19"/>
        <item x="150"/>
        <item x="70"/>
        <item x="15"/>
        <item x="51"/>
        <item x="136"/>
        <item x="121"/>
        <item x="13"/>
        <item x="157"/>
        <item x="131"/>
        <item x="83"/>
        <item x="12"/>
        <item x="130"/>
        <item x="8"/>
        <item x="6"/>
        <item x="106"/>
        <item x="25"/>
        <item x="152"/>
        <item x="84"/>
        <item x="105"/>
        <item x="97"/>
        <item x="27"/>
        <item x="65"/>
        <item x="87"/>
        <item x="44"/>
        <item x="93"/>
        <item x="89"/>
        <item x="124"/>
        <item x="30"/>
        <item x="14"/>
        <item x="5"/>
        <item x="33"/>
        <item x="79"/>
        <item x="81"/>
        <item x="125"/>
        <item x="99"/>
        <item x="118"/>
        <item x="129"/>
        <item x="159"/>
        <item x="23"/>
        <item x="26"/>
        <item x="82"/>
        <item x="38"/>
        <item x="20"/>
        <item x="35"/>
        <item x="48"/>
        <item x="18"/>
        <item x="127"/>
        <item x="49"/>
        <item x="31"/>
        <item x="7"/>
        <item x="3"/>
        <item x="92"/>
        <item x="22"/>
        <item x="9"/>
        <item x="54"/>
        <item x="17"/>
        <item x="4"/>
        <item x="56"/>
        <item x="46"/>
        <item x="153"/>
        <item x="45"/>
        <item x="86"/>
        <item x="60"/>
        <item x="39"/>
        <item x="36"/>
        <item x="149"/>
        <item x="101"/>
        <item x="88"/>
        <item x="66"/>
        <item x="64"/>
        <item x="53"/>
        <item x="63"/>
        <item x="102"/>
        <item x="57"/>
        <item x="77"/>
        <item x="61"/>
        <item x="126"/>
        <item x="47"/>
        <item x="67"/>
        <item x="133"/>
        <item x="110"/>
        <item x="142"/>
        <item x="161"/>
        <item x="78"/>
        <item x="123"/>
        <item x="147"/>
        <item x="58"/>
        <item x="104"/>
        <item x="71"/>
        <item x="96"/>
        <item x="32"/>
        <item x="72"/>
        <item x="109"/>
        <item x="132"/>
        <item x="112"/>
        <item x="122"/>
        <item x="103"/>
        <item x="40"/>
        <item x="100"/>
        <item x="28"/>
        <item x="143"/>
        <item x="137"/>
        <item x="146"/>
        <item x="145"/>
        <item x="42"/>
        <item x="160"/>
        <item x="94"/>
        <item x="76"/>
        <item x="139"/>
        <item x="37"/>
        <item t="default"/>
      </items>
    </pivotField>
    <pivotField dataField="1" compact="0" numFmtId="182" showAll="0">
      <items count="2">
        <item x="0"/>
        <item t="default"/>
      </items>
    </pivotField>
    <pivotField compact="0" numFmtId="182" showAll="0">
      <items count="163">
        <item x="1"/>
        <item x="90"/>
        <item x="148"/>
        <item x="158"/>
        <item x="140"/>
        <item x="68"/>
        <item x="116"/>
        <item x="108"/>
        <item x="156"/>
        <item x="113"/>
        <item x="155"/>
        <item x="134"/>
        <item x="138"/>
        <item x="21"/>
        <item x="62"/>
        <item x="2"/>
        <item x="91"/>
        <item x="114"/>
        <item x="74"/>
        <item x="41"/>
        <item x="10"/>
        <item x="151"/>
        <item x="111"/>
        <item x="117"/>
        <item x="95"/>
        <item x="34"/>
        <item x="29"/>
        <item x="24"/>
        <item x="11"/>
        <item x="52"/>
        <item x="128"/>
        <item x="85"/>
        <item x="98"/>
        <item x="75"/>
        <item x="141"/>
        <item x="154"/>
        <item x="55"/>
        <item x="120"/>
        <item x="59"/>
        <item x="144"/>
        <item x="119"/>
        <item x="115"/>
        <item x="135"/>
        <item x="50"/>
        <item x="43"/>
        <item x="107"/>
        <item x="69"/>
        <item x="80"/>
        <item x="16"/>
        <item x="73"/>
        <item x="19"/>
        <item x="150"/>
        <item x="70"/>
        <item x="15"/>
        <item x="51"/>
        <item x="136"/>
        <item x="121"/>
        <item x="13"/>
        <item x="157"/>
        <item x="131"/>
        <item x="83"/>
        <item x="12"/>
        <item x="0"/>
        <item x="130"/>
        <item x="8"/>
        <item x="6"/>
        <item x="106"/>
        <item x="25"/>
        <item x="152"/>
        <item x="84"/>
        <item x="105"/>
        <item x="97"/>
        <item x="27"/>
        <item x="65"/>
        <item x="87"/>
        <item x="44"/>
        <item x="93"/>
        <item x="89"/>
        <item x="124"/>
        <item x="30"/>
        <item x="14"/>
        <item x="5"/>
        <item x="33"/>
        <item x="79"/>
        <item x="81"/>
        <item x="125"/>
        <item x="99"/>
        <item x="118"/>
        <item x="129"/>
        <item x="159"/>
        <item x="23"/>
        <item x="26"/>
        <item x="82"/>
        <item x="38"/>
        <item x="20"/>
        <item x="35"/>
        <item x="48"/>
        <item x="18"/>
        <item x="127"/>
        <item x="49"/>
        <item x="31"/>
        <item x="7"/>
        <item x="3"/>
        <item x="92"/>
        <item x="22"/>
        <item x="9"/>
        <item x="54"/>
        <item x="17"/>
        <item x="4"/>
        <item x="56"/>
        <item x="46"/>
        <item x="153"/>
        <item x="45"/>
        <item x="86"/>
        <item x="60"/>
        <item x="39"/>
        <item x="36"/>
        <item x="149"/>
        <item x="101"/>
        <item x="88"/>
        <item x="66"/>
        <item x="64"/>
        <item x="53"/>
        <item x="63"/>
        <item x="102"/>
        <item x="57"/>
        <item x="77"/>
        <item x="61"/>
        <item x="126"/>
        <item x="47"/>
        <item x="67"/>
        <item x="133"/>
        <item x="110"/>
        <item x="142"/>
        <item x="161"/>
        <item x="78"/>
        <item x="123"/>
        <item x="147"/>
        <item x="58"/>
        <item x="104"/>
        <item x="71"/>
        <item x="96"/>
        <item x="32"/>
        <item x="72"/>
        <item x="109"/>
        <item x="132"/>
        <item x="112"/>
        <item x="122"/>
        <item x="103"/>
        <item x="40"/>
        <item x="100"/>
        <item x="28"/>
        <item x="143"/>
        <item x="137"/>
        <item x="146"/>
        <item x="145"/>
        <item x="42"/>
        <item x="160"/>
        <item x="94"/>
        <item x="76"/>
        <item x="139"/>
        <item x="37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get" fld="12" baseField="0" baseItem="0"/>
    <dataField name="Sum of Total Income" fld="11" baseField="0" baseItem="0"/>
  </dataFields>
  <formats count="28">
    <format dxfId="14">
      <pivotArea dataOnly="0" labelOnly="1" fieldPosition="0">
        <references count="1">
          <reference field="1" count="1">
            <x v="1"/>
          </reference>
        </references>
      </pivotArea>
    </format>
    <format dxfId="15">
      <pivotArea collapsedLevelsAreSubtotals="1" fieldPosition="0">
        <references count="1">
          <reference field="1" count="1" selected="0">
            <x v="1"/>
          </reference>
        </references>
      </pivotArea>
    </format>
    <format dxfId="16">
      <pivotArea dataOnly="0" labelOnly="1" fieldPosition="0">
        <references count="1">
          <reference field="1" count="1">
            <x v="3"/>
          </reference>
        </references>
      </pivotArea>
    </format>
    <format dxfId="17">
      <pivotArea collapsedLevelsAreSubtotals="1" fieldPosition="0">
        <references count="1">
          <reference field="1" count="1" selected="0">
            <x v="3"/>
          </reference>
        </references>
      </pivotArea>
    </format>
    <format dxfId="18">
      <pivotArea dataOnly="0" labelOnly="1" fieldPosition="0">
        <references count="1">
          <reference field="1" count="1">
            <x v="1"/>
          </reference>
        </references>
      </pivotArea>
    </format>
    <format dxfId="19">
      <pivotArea collapsedLevelsAreSubtotals="1" fieldPosition="0">
        <references count="1">
          <reference field="1" count="1" selected="0">
            <x v="1"/>
          </reference>
        </references>
      </pivotArea>
    </format>
    <format dxfId="20">
      <pivotArea dataOnly="0" labelOnly="1" fieldPosition="0">
        <references count="1">
          <reference field="1" count="1">
            <x v="3"/>
          </reference>
        </references>
      </pivotArea>
    </format>
    <format dxfId="21">
      <pivotArea collapsedLevelsAreSubtotals="1" fieldPosition="0">
        <references count="1">
          <reference field="1" count="1" selected="0">
            <x v="3"/>
          </reference>
        </references>
      </pivotArea>
    </format>
    <format dxfId="22">
      <pivotArea dataOnly="0" labelOnly="1" fieldPosition="0">
        <references count="1">
          <reference field="1" count="1">
            <x v="2"/>
          </reference>
        </references>
      </pivotArea>
    </format>
    <format dxfId="23">
      <pivotArea collapsedLevelsAreSubtotals="1" fieldPosition="0">
        <references count="1">
          <reference field="1" count="1" selected="0">
            <x v="2"/>
          </reference>
        </references>
      </pivotArea>
    </format>
    <format dxfId="24">
      <pivotArea dataOnly="0" labelOnly="1" fieldPosition="0">
        <references count="1">
          <reference field="1" count="1">
            <x v="2"/>
          </reference>
        </references>
      </pivotArea>
    </format>
    <format dxfId="25">
      <pivotArea collapsedLevelsAreSubtotals="1" fieldPosition="0">
        <references count="1">
          <reference field="1" count="1" selected="0">
            <x v="2"/>
          </reference>
        </references>
      </pivotArea>
    </format>
    <format dxfId="26">
      <pivotArea dataOnly="0" labelOnly="1" fieldPosition="0">
        <references count="1">
          <reference field="1" count="1">
            <x v="1"/>
          </reference>
        </references>
      </pivotArea>
    </format>
    <format dxfId="27">
      <pivotArea collapsedLevelsAreSubtotals="1" fieldPosition="0">
        <references count="1">
          <reference field="1" count="1" selected="0">
            <x v="1"/>
          </reference>
        </references>
      </pivotArea>
    </format>
    <format dxfId="28">
      <pivotArea dataOnly="0" labelOnly="1" fieldPosition="0">
        <references count="1">
          <reference field="1" count="1">
            <x v="1"/>
          </reference>
        </references>
      </pivotArea>
    </format>
    <format dxfId="29">
      <pivotArea collapsedLevelsAreSubtotals="1" fieldPosition="0">
        <references count="1">
          <reference field="1" count="1" selected="0">
            <x v="1"/>
          </reference>
        </references>
      </pivotArea>
    </format>
    <format dxfId="30">
      <pivotArea dataOnly="0" labelOnly="1" fieldPosition="0">
        <references count="1">
          <reference field="1" count="1">
            <x v="2"/>
          </reference>
        </references>
      </pivotArea>
    </format>
    <format dxfId="31">
      <pivotArea collapsedLevelsAreSubtotals="1" fieldPosition="0">
        <references count="1">
          <reference field="1" count="1" selected="0">
            <x v="2"/>
          </reference>
        </references>
      </pivotArea>
    </format>
    <format dxfId="32">
      <pivotArea dataOnly="0" labelOnly="1" fieldPosition="0">
        <references count="1">
          <reference field="1" count="1">
            <x v="2"/>
          </reference>
        </references>
      </pivotArea>
    </format>
    <format dxfId="33">
      <pivotArea collapsedLevelsAreSubtotals="1" fieldPosition="0">
        <references count="1">
          <reference field="1" count="1" selected="0">
            <x v="2"/>
          </reference>
        </references>
      </pivotArea>
    </format>
    <format dxfId="34">
      <pivotArea dataOnly="0" labelOnly="1" fieldPosition="0">
        <references count="1">
          <reference field="1" count="1">
            <x v="1"/>
          </reference>
        </references>
      </pivotArea>
    </format>
    <format dxfId="35">
      <pivotArea collapsedLevelsAreSubtotals="1" fieldPosition="0">
        <references count="1">
          <reference field="1" count="1" selected="0">
            <x v="1"/>
          </reference>
        </references>
      </pivotArea>
    </format>
    <format dxfId="36">
      <pivotArea dataOnly="0" labelOnly="1" fieldPosition="0">
        <references count="1">
          <reference field="1" count="1">
            <x v="1"/>
          </reference>
        </references>
      </pivotArea>
    </format>
    <format dxfId="37">
      <pivotArea collapsedLevelsAreSubtotals="1" fieldPosition="0">
        <references count="1">
          <reference field="1" count="1" selected="0">
            <x v="1"/>
          </reference>
        </references>
      </pivotArea>
    </format>
    <format dxfId="38">
      <pivotArea dataOnly="0" labelOnly="1" fieldPosition="0">
        <references count="1">
          <reference field="1" count="1">
            <x v="2"/>
          </reference>
        </references>
      </pivotArea>
    </format>
    <format dxfId="39">
      <pivotArea collapsedLevelsAreSubtotals="1" fieldPosition="0">
        <references count="1">
          <reference field="1" count="1" selected="0">
            <x v="2"/>
          </reference>
        </references>
      </pivotArea>
    </format>
    <format dxfId="40">
      <pivotArea dataOnly="0" labelOnly="1" fieldPosition="0">
        <references count="1">
          <reference field="1" count="1">
            <x v="2"/>
          </reference>
        </references>
      </pivotArea>
    </format>
    <format dxfId="41">
      <pivotArea collapsedLevelsAreSubtotals="1" fieldPosition="0">
        <references count="1">
          <reference field="1" count="1" selected="0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1" name="PivotTable3"/>
    <pivotTable tabId="1" name="PivotTable5"/>
    <pivotTable tabId="1" name="PivotTable6"/>
  </pivotTables>
  <data>
    <tabular pivotCacheId="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Quarter" sourceName="Quarter">
  <pivotTables>
    <pivotTable tabId="1" name="PivotTable3"/>
    <pivotTable tabId="1" name="PivotTable5"/>
    <pivotTable tabId="1" name="PivotTable6"/>
  </pivotTables>
  <data>
    <tabular pivotCacheId="1">
      <items count="4">
        <i x="0" s="1"/>
        <i x="1" s="1"/>
        <i x="2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Quarter" cache="Slicer_Quarter" caption="Quarter" rowHeight="225425"/>
  <slicer name="Month" cache="Slicer_Month" caption="Month" rowHeight="225425"/>
</slicers>
</file>

<file path=xl/tables/table1.xml><?xml version="1.0" encoding="utf-8"?>
<table xmlns="http://schemas.openxmlformats.org/spreadsheetml/2006/main" id="3" name="Table3" displayName="Table3" ref="A5:B13" totalsRowShown="0">
  <autoFilter xmlns:etc="http://www.wps.cn/officeDocument/2017/etCustomData" ref="A5:B13" etc:filterBottomFollowUsedRange="0"/>
  <tableColumns count="2">
    <tableColumn id="1" name="Executive Summary" dataDxfId="42"/>
    <tableColumn id="2" name="Column1" dataDxfId="43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5:E27" totalsRowShown="0">
  <autoFilter xmlns:etc="http://www.wps.cn/officeDocument/2017/etCustomData" ref="A15:E27" etc:filterBottomFollowUsedRange="0"/>
  <tableColumns count="5">
    <tableColumn id="1" name="Month"/>
    <tableColumn id="2" name="Working Day Target" dataDxfId="44">
      <calculatedColumnFormula>SUMPRODUCT(([1]Full_Data!$B$2:$B$366=A16)*([1]Full_Data!$F$2:$F$366&lt;&gt;"Saturday")*([1]Full_Data!$F$2:$F$366&lt;&gt;"Sunday")*[1]Full_Data!$M$2:$M$366)</calculatedColumnFormula>
    </tableColumn>
    <tableColumn id="3" name="Income" dataDxfId="45">
      <calculatedColumnFormula>SUMIF([1]Full_Data!$B$2:$B$366,A16,[1]Full_Data!$L$2:$L$366)</calculatedColumnFormula>
    </tableColumn>
    <tableColumn id="4" name="Gap" dataDxfId="46">
      <calculatedColumnFormula>C16-B16</calculatedColumnFormula>
    </tableColumn>
    <tableColumn id="5" name="Achievement %" dataDxfId="47">
      <calculatedColumnFormula>IFERROR(C16/B16,0)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29:C34" totalsRowShown="0">
  <autoFilter xmlns:etc="http://www.wps.cn/officeDocument/2017/etCustomData" ref="A29:C34" etc:filterBottomFollowUsedRange="0"/>
  <tableColumns count="3">
    <tableColumn id="1" name="Payment Method"/>
    <tableColumn id="2" name="Total" dataDxfId="48"/>
    <tableColumn id="3" name="Share %" dataDxfId="49">
      <calculatedColumnFormula>IFERROR(B30/SUM($B$30:$B$34),0)</calculatedColumnFormula>
    </tableColumn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2" name="IncomeData" displayName="IncomeData" ref="A1:N366">
  <autoFilter xmlns:etc="http://www.wps.cn/officeDocument/2017/etCustomData" ref="A1:N366" etc:filterBottomFollowUsedRange="0"/>
  <tableColumns count="14">
    <tableColumn id="1" name="Date"/>
    <tableColumn id="2" name="Month"/>
    <tableColumn id="3" name="Month_No"/>
    <tableColumn id="4" name="Quarter"/>
    <tableColumn id="5" name="Week_No"/>
    <tableColumn id="6" name="Day"/>
    <tableColumn id="7" name="Cash"/>
    <tableColumn id="8" name="Eftpos Online"/>
    <tableColumn id="9" name="Eftpos Offline"/>
    <tableColumn id="10" name="GiftCard"/>
    <tableColumn id="11" name="Internet Banking"/>
    <tableColumn id="12" name="Total Income" dataDxfId="52"/>
    <tableColumn id="13" name="Target" dataDxfId="53"/>
    <tableColumn id="14" name="Target Difference" dataDxfId="54"/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1" name="Table32" displayName="Table32" ref="P1:Q6" totalsRowShown="0">
  <autoFilter xmlns:etc="http://www.wps.cn/officeDocument/2017/etCustomData" ref="P1:Q6" etc:filterBottomFollowUsedRange="0"/>
  <tableColumns count="2">
    <tableColumn id="1" name="Payment method"/>
    <tableColumn id="2" name="Total" dataDxfId="55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6"/>
  <sheetViews>
    <sheetView tabSelected="1" zoomScale="68" zoomScaleNormal="68" workbookViewId="0">
      <selection activeCell="AC15" sqref="AC15"/>
    </sheetView>
  </sheetViews>
  <sheetFormatPr defaultColWidth="9" defaultRowHeight="16.8"/>
  <cols>
    <col min="1" max="1" width="4.765625" customWidth="1"/>
    <col min="6" max="6" width="10.125" customWidth="1"/>
    <col min="8" max="8" width="12.625" customWidth="1"/>
    <col min="9" max="9" width="7.875" customWidth="1"/>
    <col min="10" max="10" width="8.25" customWidth="1"/>
    <col min="11" max="11" width="10" customWidth="1"/>
    <col min="12" max="12" width="9" customWidth="1"/>
    <col min="16" max="16" width="8.4609375" customWidth="1"/>
    <col min="21" max="21" width="11.4375" hidden="1"/>
    <col min="22" max="23" width="18.625" hidden="1"/>
    <col min="24" max="24" width="14.375" hidden="1" customWidth="1"/>
    <col min="25" max="25" width="13.625" hidden="1" customWidth="1"/>
    <col min="26" max="26" width="10" hidden="1" customWidth="1"/>
    <col min="27" max="27" width="17.125" hidden="1" customWidth="1"/>
    <col min="28" max="28" width="10.875" customWidth="1"/>
  </cols>
  <sheetData>
    <row r="1" spans="1:23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</row>
    <row r="2" spans="1:23">
      <c r="A2" s="146"/>
      <c r="B2" s="147" t="s">
        <v>0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</row>
    <row r="3" spans="1:23">
      <c r="A3" s="146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</row>
    <row r="4" spans="1:23">
      <c r="A4" s="146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</row>
    <row r="5" spans="1:23">
      <c r="A5" s="146"/>
      <c r="B5" s="149"/>
      <c r="C5" s="149"/>
      <c r="D5" s="149"/>
      <c r="E5" s="149"/>
      <c r="F5" s="149"/>
      <c r="G5" s="150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</row>
    <row r="6" spans="1:23">
      <c r="A6" s="146"/>
      <c r="B6" s="149"/>
      <c r="C6" s="151" t="s">
        <v>1</v>
      </c>
      <c r="D6" s="151"/>
      <c r="E6" s="151"/>
      <c r="F6" s="151" t="s">
        <v>2</v>
      </c>
      <c r="G6" s="151"/>
      <c r="H6" s="151"/>
      <c r="I6" s="151" t="s">
        <v>3</v>
      </c>
      <c r="J6" s="151"/>
      <c r="K6" s="151"/>
      <c r="L6" s="152" t="s">
        <v>4</v>
      </c>
      <c r="M6" s="153"/>
      <c r="N6" s="154"/>
      <c r="O6" s="155" t="s">
        <v>5</v>
      </c>
      <c r="P6" s="155"/>
      <c r="Q6" s="155"/>
      <c r="R6" s="149"/>
      <c r="S6" s="149"/>
    </row>
    <row r="7" spans="1:23">
      <c r="A7" s="146"/>
      <c r="B7" s="149"/>
      <c r="C7" s="151"/>
      <c r="D7" s="151"/>
      <c r="E7" s="151"/>
      <c r="F7" s="151"/>
      <c r="G7" s="151"/>
      <c r="H7" s="151"/>
      <c r="I7" s="151"/>
      <c r="J7" s="151"/>
      <c r="K7" s="151"/>
      <c r="L7" s="156"/>
      <c r="M7" s="157"/>
      <c r="N7" s="158"/>
      <c r="O7" s="155"/>
      <c r="P7" s="155"/>
      <c r="Q7" s="155"/>
      <c r="R7" s="149"/>
      <c r="S7" s="149"/>
    </row>
    <row r="8" ht="16.5" customHeight="1" spans="1:23">
      <c r="A8" s="146"/>
      <c r="B8" s="149"/>
      <c r="C8" s="159">
        <f>SUM(IncomeData[Total Income])</f>
        <v>84525</v>
      </c>
      <c r="D8" s="159"/>
      <c r="E8" s="159"/>
      <c r="F8" s="159">
        <f>SUM(IncomeData[Target])</f>
        <v>109500</v>
      </c>
      <c r="G8" s="159"/>
      <c r="H8" s="159"/>
      <c r="I8" s="159">
        <f>SUM(IncomeData[Target Difference])</f>
        <v>11925</v>
      </c>
      <c r="J8" s="159"/>
      <c r="K8" s="159"/>
      <c r="L8" s="159">
        <f>AVERAGE(IncomeData[Total Income])</f>
        <v>231.575342465753</v>
      </c>
      <c r="M8" s="159"/>
      <c r="N8" s="159"/>
      <c r="O8" s="160">
        <f>COUNTIF(IncomeData[Target Difference],"&gt;0")</f>
        <v>164</v>
      </c>
      <c r="P8" s="160"/>
      <c r="Q8" s="160"/>
      <c r="R8" s="149"/>
      <c r="S8" s="149"/>
      <c r="U8" t="s">
        <v>6</v>
      </c>
      <c r="V8" t="s">
        <v>7</v>
      </c>
      <c r="W8" t="s">
        <v>8</v>
      </c>
    </row>
    <row r="9" ht="21.75" customHeight="1" spans="1:23">
      <c r="A9" s="146"/>
      <c r="B9" s="14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60"/>
      <c r="P9" s="160"/>
      <c r="Q9" s="160"/>
      <c r="R9" s="149"/>
      <c r="S9" s="149"/>
      <c r="U9" t="s">
        <v>9</v>
      </c>
      <c r="V9">
        <v>9300</v>
      </c>
      <c r="W9">
        <v>5649</v>
      </c>
    </row>
    <row r="10" ht="25.5" customHeight="1" spans="1:23">
      <c r="A10" s="146"/>
      <c r="B10" s="149"/>
      <c r="C10" s="149"/>
      <c r="D10" s="149"/>
      <c r="E10" s="161"/>
      <c r="F10" s="161"/>
      <c r="G10" s="161"/>
      <c r="H10" s="161"/>
      <c r="I10" s="162"/>
      <c r="J10" s="162"/>
      <c r="K10" s="162"/>
      <c r="L10" s="162"/>
      <c r="M10" s="161"/>
      <c r="N10" s="161"/>
      <c r="O10" s="163"/>
      <c r="P10" s="163"/>
      <c r="Q10" s="149"/>
      <c r="R10" s="149"/>
      <c r="S10" s="149"/>
      <c r="U10" t="s">
        <v>10</v>
      </c>
      <c r="V10">
        <v>8400</v>
      </c>
      <c r="W10">
        <v>6939.5</v>
      </c>
    </row>
    <row r="11" s="145" customFormat="1" spans="1:23">
      <c r="A11" s="164"/>
      <c r="B11" s="150"/>
      <c r="C11" s="150"/>
      <c r="D11" s="150"/>
      <c r="E11" s="165"/>
      <c r="F11" s="165"/>
      <c r="G11" s="165"/>
      <c r="H11" s="165"/>
      <c r="I11" s="165"/>
      <c r="J11" s="165"/>
      <c r="K11" s="165"/>
      <c r="L11" s="165"/>
      <c r="M11" s="166"/>
      <c r="N11" s="166"/>
      <c r="O11" s="167"/>
      <c r="P11" s="167"/>
      <c r="Q11" s="150"/>
      <c r="R11" s="150"/>
      <c r="S11" s="150"/>
      <c r="U11" s="145" t="s">
        <v>11</v>
      </c>
      <c r="V11" s="145">
        <v>9300</v>
      </c>
      <c r="W11" s="145">
        <v>7465.5</v>
      </c>
    </row>
    <row r="12" spans="1:23">
      <c r="A12" s="146"/>
      <c r="B12" s="149"/>
      <c r="C12" s="149"/>
      <c r="D12" s="149"/>
      <c r="E12" s="165"/>
      <c r="F12" s="165"/>
      <c r="G12" s="165"/>
      <c r="H12" s="165"/>
      <c r="I12" s="159"/>
      <c r="J12" s="159"/>
      <c r="K12" s="159"/>
      <c r="L12" s="159"/>
      <c r="M12" s="166"/>
      <c r="N12" s="166"/>
      <c r="O12" s="163"/>
      <c r="P12" s="163"/>
      <c r="Q12" s="149"/>
      <c r="R12" s="149"/>
      <c r="S12" s="149"/>
      <c r="U12" t="s">
        <v>12</v>
      </c>
      <c r="V12">
        <v>9000</v>
      </c>
      <c r="W12">
        <v>7234</v>
      </c>
    </row>
    <row r="13" spans="1:23">
      <c r="A13" s="146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U13" t="s">
        <v>13</v>
      </c>
      <c r="V13">
        <v>9300</v>
      </c>
      <c r="W13">
        <v>5839.5</v>
      </c>
    </row>
    <row r="14" spans="1:23">
      <c r="A14" s="146"/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U14" t="s">
        <v>14</v>
      </c>
      <c r="V14">
        <v>9000</v>
      </c>
      <c r="W14">
        <v>6426.5</v>
      </c>
    </row>
    <row r="15" spans="1:23">
      <c r="A15" s="146"/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U15" t="s">
        <v>15</v>
      </c>
      <c r="V15">
        <v>9300</v>
      </c>
      <c r="W15">
        <v>7881</v>
      </c>
    </row>
    <row r="16" spans="1:23">
      <c r="A16" s="146"/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U16" t="s">
        <v>16</v>
      </c>
      <c r="V16">
        <v>9300</v>
      </c>
      <c r="W16">
        <v>6718</v>
      </c>
    </row>
    <row r="17" spans="1:26">
      <c r="A17" s="146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U17" t="s">
        <v>17</v>
      </c>
      <c r="V17">
        <v>9000</v>
      </c>
      <c r="W17">
        <v>7167</v>
      </c>
    </row>
    <row r="18" spans="1:26">
      <c r="A18" s="146"/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U18" t="s">
        <v>18</v>
      </c>
      <c r="V18">
        <v>9300</v>
      </c>
      <c r="W18">
        <v>7725</v>
      </c>
    </row>
    <row r="19" spans="1:26">
      <c r="A19" s="146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U19" t="s">
        <v>19</v>
      </c>
      <c r="V19">
        <v>9000</v>
      </c>
      <c r="W19">
        <v>7496.5</v>
      </c>
      <c r="Y19" t="s">
        <v>20</v>
      </c>
      <c r="Z19" t="s">
        <v>21</v>
      </c>
    </row>
    <row r="20" spans="1:26">
      <c r="A20" s="146"/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U20" t="s">
        <v>22</v>
      </c>
      <c r="V20">
        <v>9300</v>
      </c>
      <c r="W20">
        <v>7983.5</v>
      </c>
      <c r="Y20" t="s">
        <v>23</v>
      </c>
      <c r="Z20" s="117">
        <v>15149.5</v>
      </c>
    </row>
    <row r="21" spans="1:26">
      <c r="A21" s="146"/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U21" t="s">
        <v>24</v>
      </c>
      <c r="V21">
        <v>109500</v>
      </c>
      <c r="W21">
        <v>84525</v>
      </c>
      <c r="Y21" t="s">
        <v>25</v>
      </c>
      <c r="Z21" s="117">
        <v>17249.5</v>
      </c>
    </row>
    <row r="22" spans="1:26">
      <c r="A22" s="146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Y22" t="s">
        <v>26</v>
      </c>
      <c r="Z22" s="117">
        <v>38015.5</v>
      </c>
    </row>
    <row r="23" spans="1:26">
      <c r="A23" s="146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Y23" t="s">
        <v>27</v>
      </c>
      <c r="Z23" s="117">
        <v>2618</v>
      </c>
    </row>
    <row r="24" spans="1:26">
      <c r="A24" s="146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Y24" t="s">
        <v>28</v>
      </c>
      <c r="Z24" s="117">
        <v>11492.5</v>
      </c>
    </row>
    <row r="25" s="145" customFormat="1" spans="1:26">
      <c r="A25" s="164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Y25" s="145" t="s">
        <v>24</v>
      </c>
      <c r="Z25" s="168">
        <v>84525</v>
      </c>
    </row>
    <row r="26" spans="1:26">
      <c r="A26" s="146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</row>
    <row r="27" spans="1:26">
      <c r="A27" s="146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</row>
    <row r="28" s="145" customFormat="1" spans="1:26">
      <c r="A28" s="164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U28" s="145" t="s">
        <v>29</v>
      </c>
      <c r="V28" t="s">
        <v>8</v>
      </c>
    </row>
    <row r="29" spans="1:26">
      <c r="A29" s="146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U29" t="s">
        <v>30</v>
      </c>
      <c r="V29">
        <v>0</v>
      </c>
    </row>
    <row r="30" spans="1:26">
      <c r="A30" s="146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U30" t="s">
        <v>31</v>
      </c>
      <c r="V30">
        <v>16804.5</v>
      </c>
    </row>
    <row r="31" spans="1:26">
      <c r="A31" s="146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U31" t="s">
        <v>32</v>
      </c>
      <c r="V31">
        <v>16169.5</v>
      </c>
    </row>
    <row r="32" spans="1:26">
      <c r="A32" s="146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U32" t="s">
        <v>33</v>
      </c>
      <c r="V32">
        <v>16455.5</v>
      </c>
    </row>
    <row r="33" spans="1:23">
      <c r="A33" s="146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U33" t="s">
        <v>34</v>
      </c>
      <c r="V33">
        <v>14851</v>
      </c>
    </row>
    <row r="34" spans="1:23">
      <c r="A34" s="146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U34" t="s">
        <v>35</v>
      </c>
      <c r="V34">
        <v>20244.5</v>
      </c>
    </row>
    <row r="35" spans="1:23">
      <c r="A35" s="146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U35" t="s">
        <v>36</v>
      </c>
      <c r="V35">
        <v>0</v>
      </c>
    </row>
    <row r="36" spans="1:23">
      <c r="A36" s="146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U36" t="s">
        <v>24</v>
      </c>
      <c r="V36">
        <v>84525</v>
      </c>
    </row>
    <row r="37" spans="1:23">
      <c r="A37" s="146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</row>
    <row r="38" spans="1:23">
      <c r="A38" s="146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</row>
    <row r="39" spans="1:23">
      <c r="A39" s="146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U39" t="s">
        <v>6</v>
      </c>
      <c r="V39" t="s">
        <v>7</v>
      </c>
      <c r="W39" t="s">
        <v>8</v>
      </c>
    </row>
    <row r="40" spans="1:23">
      <c r="A40" s="146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U40" t="s">
        <v>9</v>
      </c>
      <c r="V40">
        <v>9300</v>
      </c>
      <c r="W40">
        <v>5649</v>
      </c>
    </row>
    <row r="41" s="145" customFormat="1" spans="1:23">
      <c r="A41" s="164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U41" s="145" t="s">
        <v>10</v>
      </c>
      <c r="V41" s="145">
        <v>8400</v>
      </c>
      <c r="W41" s="145">
        <v>6939.5</v>
      </c>
    </row>
    <row r="42" spans="1:23">
      <c r="A42" s="146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U42" t="s">
        <v>11</v>
      </c>
      <c r="V42">
        <v>9300</v>
      </c>
      <c r="W42">
        <v>7465.5</v>
      </c>
    </row>
    <row r="43" spans="1:23">
      <c r="A43" s="146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U43" t="s">
        <v>12</v>
      </c>
      <c r="V43">
        <v>9000</v>
      </c>
      <c r="W43">
        <v>7234</v>
      </c>
    </row>
    <row r="44" spans="1:23">
      <c r="A44" s="146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U44" t="s">
        <v>13</v>
      </c>
      <c r="V44">
        <v>9300</v>
      </c>
      <c r="W44">
        <v>5839.5</v>
      </c>
    </row>
    <row r="45" spans="1:23"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U45" t="s">
        <v>14</v>
      </c>
      <c r="V45">
        <v>9000</v>
      </c>
      <c r="W45">
        <v>6426.5</v>
      </c>
    </row>
    <row r="46" spans="1:23"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U46" t="s">
        <v>15</v>
      </c>
      <c r="V46">
        <v>9300</v>
      </c>
      <c r="W46">
        <v>7881</v>
      </c>
    </row>
    <row r="47" spans="1:23"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U47" t="s">
        <v>16</v>
      </c>
      <c r="V47">
        <v>9300</v>
      </c>
      <c r="W47">
        <v>6718</v>
      </c>
    </row>
    <row r="48" spans="1:23">
      <c r="U48" t="s">
        <v>17</v>
      </c>
      <c r="V48">
        <v>9000</v>
      </c>
      <c r="W48">
        <v>7167</v>
      </c>
    </row>
    <row r="49" spans="3:23">
      <c r="U49" t="s">
        <v>18</v>
      </c>
      <c r="V49">
        <v>9300</v>
      </c>
      <c r="W49">
        <v>7725</v>
      </c>
    </row>
    <row r="50" spans="3:23">
      <c r="U50" t="s">
        <v>19</v>
      </c>
      <c r="V50">
        <v>9000</v>
      </c>
      <c r="W50">
        <v>7496.5</v>
      </c>
    </row>
    <row r="51" spans="3:23">
      <c r="C51" s="170"/>
      <c r="U51" t="s">
        <v>22</v>
      </c>
      <c r="V51">
        <v>9300</v>
      </c>
      <c r="W51">
        <v>7983.5</v>
      </c>
    </row>
    <row r="52" spans="3:23">
      <c r="C52" s="170"/>
      <c r="U52" t="s">
        <v>24</v>
      </c>
      <c r="V52">
        <v>109500</v>
      </c>
      <c r="W52">
        <v>84525</v>
      </c>
    </row>
    <row r="53" spans="3:23">
      <c r="C53" s="170"/>
    </row>
    <row r="54" spans="3:23">
      <c r="C54" s="170"/>
    </row>
    <row r="55" spans="3:23">
      <c r="C55" s="170"/>
    </row>
    <row r="56" spans="3:23">
      <c r="C56" s="170"/>
    </row>
  </sheetData>
  <mergeCells count="23">
    <mergeCell ref="E10:F10"/>
    <mergeCell ref="G10:H10"/>
    <mergeCell ref="I10:J10"/>
    <mergeCell ref="K10:L10"/>
    <mergeCell ref="M10:N10"/>
    <mergeCell ref="O10:P10"/>
    <mergeCell ref="E11:F12"/>
    <mergeCell ref="G11:H12"/>
    <mergeCell ref="I11:J12"/>
    <mergeCell ref="K11:L12"/>
    <mergeCell ref="M11:N12"/>
    <mergeCell ref="O11:P12"/>
    <mergeCell ref="B2:S4"/>
    <mergeCell ref="C6:E7"/>
    <mergeCell ref="F6:H7"/>
    <mergeCell ref="I6:K7"/>
    <mergeCell ref="L6:N7"/>
    <mergeCell ref="O6:Q7"/>
    <mergeCell ref="C8:E9"/>
    <mergeCell ref="F8:H9"/>
    <mergeCell ref="I8:K9"/>
    <mergeCell ref="L8:N9"/>
    <mergeCell ref="O8:Q9"/>
  </mergeCells>
  <pageMargins left="0.7" right="0.7" top="0.75" bottom="0.75" header="0.3" footer="0.3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G33" sqref="G33"/>
    </sheetView>
  </sheetViews>
  <sheetFormatPr defaultColWidth="9" defaultRowHeight="16.8"/>
  <cols>
    <col min="1" max="1" width="26" customWidth="1"/>
    <col min="2" max="8" width="18" customWidth="1"/>
    <col min="9" max="14" width="16" customWidth="1"/>
  </cols>
  <sheetData>
    <row r="1" ht="30" customHeight="1" spans="1:14">
      <c r="A1" s="124" t="s">
        <v>37</v>
      </c>
      <c r="B1" s="124"/>
      <c r="C1" s="124"/>
      <c r="D1" s="124"/>
      <c r="E1" s="124"/>
      <c r="F1" s="124"/>
      <c r="G1" s="124"/>
      <c r="H1" s="124"/>
      <c r="I1" s="125"/>
      <c r="J1" s="125"/>
      <c r="K1" s="125"/>
      <c r="L1" s="125"/>
      <c r="M1" s="125"/>
      <c r="N1" s="125"/>
    </row>
    <row r="2" customFormat="1" ht="30" customHeight="1" spans="1:14">
      <c r="A2" s="126"/>
      <c r="B2" s="126"/>
      <c r="C2" s="126"/>
      <c r="D2" s="126"/>
      <c r="E2" s="126"/>
      <c r="F2" s="126"/>
      <c r="G2" s="126"/>
      <c r="H2" s="126"/>
    </row>
    <row r="3" customFormat="1" spans="1:14">
      <c r="A3" s="127" t="s">
        <v>38</v>
      </c>
      <c r="B3" s="127"/>
      <c r="C3" s="127"/>
      <c r="D3" s="127"/>
      <c r="E3" s="127"/>
      <c r="F3" s="127"/>
      <c r="G3" s="127"/>
      <c r="H3" s="127"/>
    </row>
    <row r="5" customFormat="1" spans="1:14">
      <c r="A5" s="128" t="s">
        <v>39</v>
      </c>
      <c r="B5" s="128" t="s">
        <v>40</v>
      </c>
    </row>
    <row r="6" customFormat="1" spans="1:14">
      <c r="A6" s="129" t="s">
        <v>1</v>
      </c>
      <c r="B6" s="130">
        <f>SUM([1]Full_Data!$L$2:$L$366)</f>
        <v>84525</v>
      </c>
    </row>
    <row r="7" customFormat="1" spans="1:14">
      <c r="A7" s="129" t="s">
        <v>41</v>
      </c>
      <c r="B7" s="130">
        <f>SUMPRODUCT(([1]Full_Data!$F$2:$F$366&lt;&gt;"Saturday")*([1]Full_Data!$F$2:$F$366&lt;&gt;"Sunday")*[1]Full_Data!$M$2:$M$366)</f>
        <v>78300</v>
      </c>
    </row>
    <row r="8" customFormat="1" spans="1:14">
      <c r="A8" s="129" t="s">
        <v>42</v>
      </c>
      <c r="B8" s="130">
        <f>B6-B7</f>
        <v>6225</v>
      </c>
    </row>
    <row r="9" customFormat="1" spans="1:14">
      <c r="A9" s="129" t="s">
        <v>43</v>
      </c>
      <c r="B9" s="131">
        <f>IFERROR(B6/B7,0)</f>
        <v>1.07950191570881</v>
      </c>
    </row>
    <row r="10" customFormat="1" spans="1:14">
      <c r="A10" s="129" t="s">
        <v>44</v>
      </c>
      <c r="B10" s="130">
        <f>IFERROR(AVERAGEIFS([1]Full_Data!$L$2:$L$366,[1]Full_Data!$F$2:$F$366,"&lt;&gt;Saturday",[1]Full_Data!$F$2:$F$366,"&lt;&gt;Sunday",[1]Full_Data!$L$2:$L$366,"&gt;0"),0)</f>
        <v>349.276859504132</v>
      </c>
    </row>
    <row r="11" customFormat="1" spans="1:14">
      <c r="A11" s="129" t="s">
        <v>45</v>
      </c>
      <c r="B11" s="132">
        <f>SUMPRODUCT(([1]Full_Data!$F$2:$F$366&lt;&gt;"Saturday")*([1]Full_Data!$F$2:$F$366&lt;&gt;"Sunday")*([1]Full_Data!$L$2:$L$366&gt;=[1]Full_Data!$M$2:$M$366)*([1]Full_Data!$L$2:$L$366&gt;0))</f>
        <v>164</v>
      </c>
    </row>
    <row r="12" customFormat="1" spans="1:14">
      <c r="A12" s="129" t="s">
        <v>46</v>
      </c>
      <c r="B12" s="133" t="str">
        <f>INDEX($A$16:$A$27,MATCH(MAX($C$16:$C$27),$C$16:$C$27,0))</f>
        <v>December</v>
      </c>
    </row>
    <row r="13" customFormat="1" spans="1:14">
      <c r="A13" s="129" t="s">
        <v>47</v>
      </c>
      <c r="B13" s="133" t="str">
        <f>INDEX($A$30:$A$34,MATCH(MAX($B$30:$B$34),$B$30:$B$34,0))</f>
        <v>Eftpos Online</v>
      </c>
    </row>
    <row r="15" customFormat="1" spans="1:14">
      <c r="A15" s="128" t="s">
        <v>6</v>
      </c>
      <c r="B15" s="128" t="s">
        <v>41</v>
      </c>
      <c r="C15" s="128" t="s">
        <v>48</v>
      </c>
      <c r="D15" s="128" t="s">
        <v>49</v>
      </c>
      <c r="E15" s="128" t="s">
        <v>50</v>
      </c>
    </row>
    <row r="16" customFormat="1" spans="1:14">
      <c r="A16" t="s">
        <v>9</v>
      </c>
      <c r="B16" s="134">
        <f>SUMPRODUCT(([1]Full_Data!$B$2:$B$366=A16)*([1]Full_Data!$F$2:$F$366&lt;&gt;"Saturday")*([1]Full_Data!$F$2:$F$366&lt;&gt;"Sunday")*[1]Full_Data!$M$2:$M$366)</f>
        <v>6600</v>
      </c>
      <c r="C16" s="134">
        <f>SUMIF([1]Full_Data!$B$2:$B$366,A16,[1]Full_Data!$L$2:$L$366)</f>
        <v>5649</v>
      </c>
      <c r="D16" s="134">
        <f t="shared" ref="D16:D27" si="0">C16-B16</f>
        <v>-951</v>
      </c>
      <c r="E16" s="135">
        <f t="shared" ref="E16:E27" si="1">IFERROR(C16/B16,0)</f>
        <v>0.855909090909091</v>
      </c>
    </row>
    <row r="17" customFormat="1" spans="1:5">
      <c r="A17" t="s">
        <v>10</v>
      </c>
      <c r="B17" s="134">
        <f>SUMPRODUCT(([1]Full_Data!$B$2:$B$366=A17)*([1]Full_Data!$F$2:$F$366&lt;&gt;"Saturday")*([1]Full_Data!$F$2:$F$366&lt;&gt;"Sunday")*[1]Full_Data!$M$2:$M$366)</f>
        <v>6000</v>
      </c>
      <c r="C17" s="134">
        <f>SUMIF([1]Full_Data!$B$2:$B$366,A17,[1]Full_Data!$L$2:$L$366)</f>
        <v>6939.5</v>
      </c>
      <c r="D17" s="134">
        <f t="shared" si="0"/>
        <v>939.5</v>
      </c>
      <c r="E17" s="135">
        <f t="shared" si="1"/>
        <v>1.15658333333333</v>
      </c>
    </row>
    <row r="18" customFormat="1" spans="1:5">
      <c r="A18" t="s">
        <v>11</v>
      </c>
      <c r="B18" s="134">
        <f>SUMPRODUCT(([1]Full_Data!$B$2:$B$366=A18)*([1]Full_Data!$F$2:$F$366&lt;&gt;"Saturday")*([1]Full_Data!$F$2:$F$366&lt;&gt;"Sunday")*[1]Full_Data!$M$2:$M$366)</f>
        <v>6600</v>
      </c>
      <c r="C18" s="134">
        <f>SUMIF([1]Full_Data!$B$2:$B$366,A18,[1]Full_Data!$L$2:$L$366)</f>
        <v>7465.5</v>
      </c>
      <c r="D18" s="134">
        <f t="shared" si="0"/>
        <v>865.5</v>
      </c>
      <c r="E18" s="135">
        <f t="shared" si="1"/>
        <v>1.13113636363636</v>
      </c>
    </row>
    <row r="19" customFormat="1" spans="1:5">
      <c r="A19" t="s">
        <v>12</v>
      </c>
      <c r="B19" s="134">
        <f>SUMPRODUCT(([1]Full_Data!$B$2:$B$366=A19)*([1]Full_Data!$F$2:$F$366&lt;&gt;"Saturday")*([1]Full_Data!$F$2:$F$366&lt;&gt;"Sunday")*[1]Full_Data!$M$2:$M$366)</f>
        <v>6600</v>
      </c>
      <c r="C19" s="134">
        <f>SUMIF([1]Full_Data!$B$2:$B$366,A19,[1]Full_Data!$L$2:$L$366)</f>
        <v>7234</v>
      </c>
      <c r="D19" s="134">
        <f t="shared" si="0"/>
        <v>634</v>
      </c>
      <c r="E19" s="135">
        <f t="shared" si="1"/>
        <v>1.09606060606061</v>
      </c>
    </row>
    <row r="20" customFormat="1" spans="1:5">
      <c r="A20" t="s">
        <v>13</v>
      </c>
      <c r="B20" s="134">
        <f>SUMPRODUCT(([1]Full_Data!$B$2:$B$366=A20)*([1]Full_Data!$F$2:$F$366&lt;&gt;"Saturday")*([1]Full_Data!$F$2:$F$366&lt;&gt;"Sunday")*[1]Full_Data!$M$2:$M$366)</f>
        <v>6300</v>
      </c>
      <c r="C20" s="134">
        <f>SUMIF([1]Full_Data!$B$2:$B$366,A20,[1]Full_Data!$L$2:$L$366)</f>
        <v>5839.5</v>
      </c>
      <c r="D20" s="134">
        <f t="shared" si="0"/>
        <v>-460.5</v>
      </c>
      <c r="E20" s="135">
        <f t="shared" si="1"/>
        <v>0.926904761904762</v>
      </c>
    </row>
    <row r="21" customFormat="1" spans="1:5">
      <c r="A21" t="s">
        <v>14</v>
      </c>
      <c r="B21" s="134">
        <f>SUMPRODUCT(([1]Full_Data!$B$2:$B$366=A21)*([1]Full_Data!$F$2:$F$366&lt;&gt;"Saturday")*([1]Full_Data!$F$2:$F$366&lt;&gt;"Sunday")*[1]Full_Data!$M$2:$M$366)</f>
        <v>6600</v>
      </c>
      <c r="C21" s="134">
        <f>SUMIF([1]Full_Data!$B$2:$B$366,A21,[1]Full_Data!$L$2:$L$366)</f>
        <v>6426.5</v>
      </c>
      <c r="D21" s="134">
        <f t="shared" si="0"/>
        <v>-173.5</v>
      </c>
      <c r="E21" s="135">
        <f t="shared" si="1"/>
        <v>0.973712121212121</v>
      </c>
    </row>
    <row r="22" customFormat="1" spans="1:5">
      <c r="A22" t="s">
        <v>15</v>
      </c>
      <c r="B22" s="134">
        <f>SUMPRODUCT(([1]Full_Data!$B$2:$B$366=A22)*([1]Full_Data!$F$2:$F$366&lt;&gt;"Saturday")*([1]Full_Data!$F$2:$F$366&lt;&gt;"Sunday")*[1]Full_Data!$M$2:$M$366)</f>
        <v>6900</v>
      </c>
      <c r="C22" s="134">
        <f>SUMIF([1]Full_Data!$B$2:$B$366,A22,[1]Full_Data!$L$2:$L$366)</f>
        <v>7881</v>
      </c>
      <c r="D22" s="134">
        <f t="shared" si="0"/>
        <v>981</v>
      </c>
      <c r="E22" s="135">
        <f t="shared" si="1"/>
        <v>1.14217391304348</v>
      </c>
    </row>
    <row r="23" customFormat="1" spans="1:5">
      <c r="A23" t="s">
        <v>16</v>
      </c>
      <c r="B23" s="134">
        <f>SUMPRODUCT(([1]Full_Data!$B$2:$B$366=A23)*([1]Full_Data!$F$2:$F$366&lt;&gt;"Saturday")*([1]Full_Data!$F$2:$F$366&lt;&gt;"Sunday")*[1]Full_Data!$M$2:$M$366)</f>
        <v>6300</v>
      </c>
      <c r="C23" s="134">
        <f>SUMIF([1]Full_Data!$B$2:$B$366,A23,[1]Full_Data!$L$2:$L$366)</f>
        <v>6718</v>
      </c>
      <c r="D23" s="134">
        <f t="shared" si="0"/>
        <v>418</v>
      </c>
      <c r="E23" s="135">
        <f t="shared" si="1"/>
        <v>1.06634920634921</v>
      </c>
    </row>
    <row r="24" customFormat="1" spans="1:5">
      <c r="A24" t="s">
        <v>17</v>
      </c>
      <c r="B24" s="134">
        <f>SUMPRODUCT(([1]Full_Data!$B$2:$B$366=A24)*([1]Full_Data!$F$2:$F$366&lt;&gt;"Saturday")*([1]Full_Data!$F$2:$F$366&lt;&gt;"Sunday")*[1]Full_Data!$M$2:$M$366)</f>
        <v>6600</v>
      </c>
      <c r="C24" s="134">
        <f>SUMIF([1]Full_Data!$B$2:$B$366,A24,[1]Full_Data!$L$2:$L$366)</f>
        <v>7167</v>
      </c>
      <c r="D24" s="134">
        <f t="shared" si="0"/>
        <v>567</v>
      </c>
      <c r="E24" s="135">
        <f t="shared" si="1"/>
        <v>1.08590909090909</v>
      </c>
    </row>
    <row r="25" customFormat="1" spans="1:5">
      <c r="A25" t="s">
        <v>18</v>
      </c>
      <c r="B25" s="134">
        <f>SUMPRODUCT(([1]Full_Data!$B$2:$B$366=A25)*([1]Full_Data!$F$2:$F$366&lt;&gt;"Saturday")*([1]Full_Data!$F$2:$F$366&lt;&gt;"Sunday")*[1]Full_Data!$M$2:$M$366)</f>
        <v>6600</v>
      </c>
      <c r="C25" s="134">
        <f>SUMIF([1]Full_Data!$B$2:$B$366,A25,[1]Full_Data!$L$2:$L$366)</f>
        <v>7725</v>
      </c>
      <c r="D25" s="134">
        <f t="shared" si="0"/>
        <v>1125</v>
      </c>
      <c r="E25" s="135">
        <f t="shared" si="1"/>
        <v>1.17045454545455</v>
      </c>
    </row>
    <row r="26" customFormat="1" spans="1:5">
      <c r="A26" t="s">
        <v>19</v>
      </c>
      <c r="B26" s="134">
        <f>SUMPRODUCT(([1]Full_Data!$B$2:$B$366=A26)*([1]Full_Data!$F$2:$F$366&lt;&gt;"Saturday")*([1]Full_Data!$F$2:$F$366&lt;&gt;"Sunday")*[1]Full_Data!$M$2:$M$366)</f>
        <v>6300</v>
      </c>
      <c r="C26" s="134">
        <f>SUMIF([1]Full_Data!$B$2:$B$366,A26,[1]Full_Data!$L$2:$L$366)</f>
        <v>7496.5</v>
      </c>
      <c r="D26" s="134">
        <f t="shared" si="0"/>
        <v>1196.5</v>
      </c>
      <c r="E26" s="135">
        <f t="shared" si="1"/>
        <v>1.18992063492063</v>
      </c>
    </row>
    <row r="27" customFormat="1" spans="1:5">
      <c r="A27" t="s">
        <v>22</v>
      </c>
      <c r="B27" s="134">
        <f>SUMPRODUCT(([1]Full_Data!$B$2:$B$366=A27)*([1]Full_Data!$F$2:$F$366&lt;&gt;"Saturday")*([1]Full_Data!$F$2:$F$366&lt;&gt;"Sunday")*[1]Full_Data!$M$2:$M$366)</f>
        <v>6900</v>
      </c>
      <c r="C27" s="134">
        <f>SUMIF([1]Full_Data!$B$2:$B$366,A27,[1]Full_Data!$L$2:$L$366)</f>
        <v>7983.5</v>
      </c>
      <c r="D27" s="134">
        <f t="shared" si="0"/>
        <v>1083.5</v>
      </c>
      <c r="E27" s="135">
        <f t="shared" si="1"/>
        <v>1.15702898550725</v>
      </c>
    </row>
    <row r="29" customFormat="1" spans="1:5">
      <c r="A29" s="128" t="s">
        <v>51</v>
      </c>
      <c r="B29" s="128" t="s">
        <v>52</v>
      </c>
      <c r="C29" s="128" t="s">
        <v>53</v>
      </c>
    </row>
    <row r="30" customFormat="1" spans="1:5">
      <c r="A30" t="s">
        <v>23</v>
      </c>
      <c r="B30" s="134">
        <f>SUM([1]Full_Data!$G$2:$G$366)</f>
        <v>15149.5</v>
      </c>
      <c r="C30" s="135">
        <f t="shared" ref="C30:C34" si="2">IFERROR(B30/SUM($B$30:$B$34),0)</f>
        <v>0.179230996746525</v>
      </c>
    </row>
    <row r="31" customFormat="1" spans="1:5">
      <c r="A31" t="s">
        <v>26</v>
      </c>
      <c r="B31" s="134">
        <f>SUM([1]Full_Data!$H$2:$H$366)</f>
        <v>38015.5</v>
      </c>
      <c r="C31" s="135">
        <f t="shared" si="2"/>
        <v>0.449754510499852</v>
      </c>
    </row>
    <row r="32" customFormat="1" spans="1:5">
      <c r="A32" t="s">
        <v>25</v>
      </c>
      <c r="B32" s="134">
        <f>SUM([1]Full_Data!$I$2:$I$366)</f>
        <v>17249.5</v>
      </c>
      <c r="C32" s="135">
        <f t="shared" si="2"/>
        <v>0.204075717243419</v>
      </c>
    </row>
    <row r="33" customFormat="1" spans="1:4">
      <c r="A33" t="s">
        <v>27</v>
      </c>
      <c r="B33" s="134">
        <f>SUM([1]Full_Data!$J$2:$J$366)</f>
        <v>2618</v>
      </c>
      <c r="C33" s="135">
        <f t="shared" si="2"/>
        <v>0.0309730848861284</v>
      </c>
    </row>
    <row r="34" customFormat="1" spans="1:4">
      <c r="A34" t="s">
        <v>28</v>
      </c>
      <c r="B34" s="134">
        <f>SUM([1]Full_Data!$K$2:$K$366)</f>
        <v>11492.5</v>
      </c>
      <c r="C34" s="135">
        <f t="shared" si="2"/>
        <v>0.135965690624076</v>
      </c>
    </row>
    <row r="37" spans="1:4">
      <c r="A37" s="136" t="s">
        <v>54</v>
      </c>
      <c r="B37" s="137">
        <f>SUMPRODUCT(([1]Full_Data!$D$2:$D$366=A37)*([1]Full_Data!$F$2:$F$366&lt;&gt;"Saturday")*([1]Full_Data!$F$2:$F$366&lt;&gt;"Sunday")*[1]Full_Data!$M$2:$M$366)</f>
        <v>19200</v>
      </c>
      <c r="C37" s="137">
        <f>SUMIF([1]Full_Data!$D$2:$D$366,A37,[1]Full_Data!$L$2:$L$366)</f>
        <v>20054</v>
      </c>
      <c r="D37" s="138">
        <f t="shared" ref="D37:D40" si="3">IFERROR(C37/B37,0)</f>
        <v>1.04447916666667</v>
      </c>
    </row>
    <row r="38" spans="1:4">
      <c r="A38" s="139" t="s">
        <v>55</v>
      </c>
      <c r="B38" s="140">
        <f>SUMPRODUCT(([1]Full_Data!$D$2:$D$366=A38)*([1]Full_Data!$F$2:$F$366&lt;&gt;"Saturday")*([1]Full_Data!$F$2:$F$366&lt;&gt;"Sunday")*[1]Full_Data!$M$2:$M$366)</f>
        <v>19500</v>
      </c>
      <c r="C38" s="140">
        <f>SUMIF([1]Full_Data!$D$2:$D$366,A38,[1]Full_Data!$L$2:$L$366)</f>
        <v>19500</v>
      </c>
      <c r="D38" s="141">
        <f t="shared" si="3"/>
        <v>1</v>
      </c>
    </row>
    <row r="39" spans="1:4">
      <c r="A39" s="136" t="s">
        <v>56</v>
      </c>
      <c r="B39" s="137">
        <f>SUMPRODUCT(([1]Full_Data!$D$2:$D$366=A39)*([1]Full_Data!$F$2:$F$366&lt;&gt;"Saturday")*([1]Full_Data!$F$2:$F$366&lt;&gt;"Sunday")*[1]Full_Data!$M$2:$M$366)</f>
        <v>19800</v>
      </c>
      <c r="C39" s="137">
        <f>SUMIF([1]Full_Data!$D$2:$D$366,A39,[1]Full_Data!$L$2:$L$366)</f>
        <v>21766</v>
      </c>
      <c r="D39" s="138">
        <f t="shared" si="3"/>
        <v>1.09929292929293</v>
      </c>
    </row>
    <row r="40" spans="1:4">
      <c r="A40" s="142" t="s">
        <v>57</v>
      </c>
      <c r="B40" s="143">
        <f>SUMPRODUCT(([1]Full_Data!$D$2:$D$366=A40)*([1]Full_Data!$F$2:$F$366&lt;&gt;"Saturday")*([1]Full_Data!$F$2:$F$366&lt;&gt;"Sunday")*[1]Full_Data!$M$2:$M$366)</f>
        <v>19800</v>
      </c>
      <c r="C40" s="143">
        <f>SUMIF([1]Full_Data!$D$2:$D$366,A40,[1]Full_Data!$L$2:$L$366)</f>
        <v>23205</v>
      </c>
      <c r="D40" s="144">
        <f t="shared" si="3"/>
        <v>1.1719696969697</v>
      </c>
    </row>
  </sheetData>
  <mergeCells count="2">
    <mergeCell ref="A3:H3"/>
    <mergeCell ref="A1:H2"/>
  </mergeCells>
  <conditionalFormatting sqref="D16:D27">
    <cfRule type="cellIs" dxfId="50" priority="1" operator="lessThan">
      <formula>0</formula>
    </cfRule>
  </conditionalFormatting>
  <conditionalFormatting sqref="E16:E27">
    <cfRule type="cellIs" dxfId="51" priority="2" operator="greaterThanOrEqual">
      <formula>1</formula>
    </cfRule>
  </conditionalFormatting>
  <pageMargins left="0.75" right="0.75" top="1" bottom="1" header="0.5" footer="0.5"/>
  <headerFooter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6"/>
  <sheetViews>
    <sheetView workbookViewId="0">
      <selection activeCell="K8" sqref="K8"/>
    </sheetView>
  </sheetViews>
  <sheetFormatPr defaultColWidth="9" defaultRowHeight="16.8"/>
  <cols>
    <col min="1" max="1" width="14.25" customWidth="1"/>
    <col min="2" max="2" width="13.25" customWidth="1"/>
    <col min="3" max="3" width="11.375" customWidth="1"/>
    <col min="4" max="4" width="9.75" customWidth="1"/>
    <col min="5" max="5" width="8.125" customWidth="1"/>
    <col min="6" max="6" width="13.875" customWidth="1"/>
    <col min="7" max="7" width="9.25" customWidth="1"/>
    <col min="8" max="8" width="16.125" customWidth="1"/>
    <col min="9" max="9" width="16.375" customWidth="1"/>
    <col min="10" max="10" width="11.875" customWidth="1"/>
    <col min="11" max="11" width="20.625" customWidth="1"/>
    <col min="12" max="12" width="9.25" customWidth="1"/>
    <col min="13" max="13" width="10.375" style="108" customWidth="1"/>
    <col min="14" max="14" width="21.375" style="109" customWidth="1"/>
    <col min="15" max="15" width="11.25" customWidth="1"/>
    <col min="16" max="16" width="14" customWidth="1"/>
    <col min="17" max="17" width="14.75" customWidth="1"/>
  </cols>
  <sheetData>
    <row r="1" ht="22.5" customHeight="1" spans="1:17">
      <c r="A1" s="110" t="s">
        <v>58</v>
      </c>
      <c r="B1" s="110" t="s">
        <v>6</v>
      </c>
      <c r="C1" s="110" t="s">
        <v>59</v>
      </c>
      <c r="D1" s="110" t="s">
        <v>60</v>
      </c>
      <c r="E1" s="110" t="s">
        <v>61</v>
      </c>
      <c r="F1" s="110" t="s">
        <v>29</v>
      </c>
      <c r="G1" s="110" t="s">
        <v>23</v>
      </c>
      <c r="H1" s="110" t="s">
        <v>26</v>
      </c>
      <c r="I1" s="110" t="s">
        <v>25</v>
      </c>
      <c r="J1" s="110" t="s">
        <v>27</v>
      </c>
      <c r="K1" s="110" t="s">
        <v>28</v>
      </c>
      <c r="L1" s="110" t="s">
        <v>1</v>
      </c>
      <c r="M1" s="110" t="s">
        <v>62</v>
      </c>
      <c r="N1" s="110" t="s">
        <v>3</v>
      </c>
      <c r="O1" s="111"/>
      <c r="P1" s="112" t="s">
        <v>20</v>
      </c>
      <c r="Q1" t="s">
        <v>52</v>
      </c>
    </row>
    <row r="2" ht="22.5" customHeight="1" spans="1:17">
      <c r="A2" s="113">
        <v>46023</v>
      </c>
      <c r="B2" s="114" t="s">
        <v>9</v>
      </c>
      <c r="C2" s="114">
        <v>1</v>
      </c>
      <c r="D2" s="114" t="s">
        <v>54</v>
      </c>
      <c r="E2" s="114">
        <v>1</v>
      </c>
      <c r="F2" s="114" t="s">
        <v>34</v>
      </c>
      <c r="G2" s="115">
        <v>0</v>
      </c>
      <c r="H2" s="115">
        <v>0</v>
      </c>
      <c r="I2" s="115">
        <v>0</v>
      </c>
      <c r="J2" s="115">
        <v>0</v>
      </c>
      <c r="K2" s="115">
        <v>0</v>
      </c>
      <c r="L2" s="116">
        <f>SUM(G2:K2)</f>
        <v>0</v>
      </c>
      <c r="M2" s="116">
        <v>300</v>
      </c>
      <c r="N2" s="116">
        <f>IF(L2=0,0,L2-M2)</f>
        <v>0</v>
      </c>
      <c r="P2" t="s">
        <v>23</v>
      </c>
      <c r="Q2" s="117">
        <f>SUM(IncomeData[Cash])</f>
        <v>15149.5</v>
      </c>
    </row>
    <row r="3" ht="22.5" customHeight="1" spans="1:17">
      <c r="A3" s="113">
        <v>46024</v>
      </c>
      <c r="B3" s="114" t="s">
        <v>9</v>
      </c>
      <c r="C3" s="114">
        <v>1</v>
      </c>
      <c r="D3" s="114" t="s">
        <v>54</v>
      </c>
      <c r="E3" s="114">
        <v>1</v>
      </c>
      <c r="F3" s="114" t="s">
        <v>35</v>
      </c>
      <c r="G3" s="115">
        <v>0</v>
      </c>
      <c r="H3" s="115">
        <v>0</v>
      </c>
      <c r="I3" s="115">
        <v>0</v>
      </c>
      <c r="J3" s="115">
        <v>0</v>
      </c>
      <c r="K3" s="115">
        <v>0</v>
      </c>
      <c r="L3" s="116">
        <f t="shared" ref="L3:L66" si="0">SUM(G3:K3)</f>
        <v>0</v>
      </c>
      <c r="M3" s="116">
        <v>300</v>
      </c>
      <c r="N3" s="116">
        <f t="shared" ref="N3:N66" si="1">IF(L3=0,0,L3-M3)</f>
        <v>0</v>
      </c>
      <c r="P3" t="s">
        <v>26</v>
      </c>
      <c r="Q3" s="117">
        <f>SUM(IncomeData[Eftpos Online])</f>
        <v>38015.5</v>
      </c>
    </row>
    <row r="4" ht="22.5" customHeight="1" spans="1:17">
      <c r="A4" s="113">
        <v>46025</v>
      </c>
      <c r="B4" s="114" t="s">
        <v>9</v>
      </c>
      <c r="C4" s="114">
        <v>1</v>
      </c>
      <c r="D4" s="114" t="s">
        <v>54</v>
      </c>
      <c r="E4" s="114">
        <v>1</v>
      </c>
      <c r="F4" s="114" t="s">
        <v>36</v>
      </c>
      <c r="G4" s="115">
        <v>0</v>
      </c>
      <c r="H4" s="115">
        <v>0</v>
      </c>
      <c r="I4" s="115">
        <v>0</v>
      </c>
      <c r="J4" s="115">
        <v>0</v>
      </c>
      <c r="K4" s="115">
        <v>0</v>
      </c>
      <c r="L4" s="116">
        <f t="shared" si="0"/>
        <v>0</v>
      </c>
      <c r="M4" s="116">
        <v>300</v>
      </c>
      <c r="N4" s="116">
        <f t="shared" si="1"/>
        <v>0</v>
      </c>
      <c r="P4" t="s">
        <v>25</v>
      </c>
      <c r="Q4" s="117">
        <f>SUM(IncomeData[Eftpos Offline])</f>
        <v>17249.5</v>
      </c>
    </row>
    <row r="5" ht="22.5" customHeight="1" spans="1:17">
      <c r="A5" s="113">
        <v>46026</v>
      </c>
      <c r="B5" s="114" t="s">
        <v>9</v>
      </c>
      <c r="C5" s="114">
        <v>1</v>
      </c>
      <c r="D5" s="114" t="s">
        <v>54</v>
      </c>
      <c r="E5" s="114">
        <v>2</v>
      </c>
      <c r="F5" s="114" t="s">
        <v>30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6">
        <f t="shared" si="0"/>
        <v>0</v>
      </c>
      <c r="M5" s="116">
        <v>300</v>
      </c>
      <c r="N5" s="116">
        <f t="shared" si="1"/>
        <v>0</v>
      </c>
      <c r="P5" t="s">
        <v>27</v>
      </c>
      <c r="Q5" s="117">
        <f>SUM(IncomeData[GiftCard])</f>
        <v>2618</v>
      </c>
    </row>
    <row r="6" ht="22.5" customHeight="1" spans="1:17">
      <c r="A6" s="113">
        <v>46027</v>
      </c>
      <c r="B6" s="114" t="s">
        <v>9</v>
      </c>
      <c r="C6" s="114">
        <v>1</v>
      </c>
      <c r="D6" s="114" t="s">
        <v>54</v>
      </c>
      <c r="E6" s="114">
        <v>2</v>
      </c>
      <c r="F6" s="114" t="s">
        <v>31</v>
      </c>
      <c r="G6" s="27">
        <v>60.5</v>
      </c>
      <c r="H6" s="118">
        <v>0</v>
      </c>
      <c r="I6" s="118">
        <v>0</v>
      </c>
      <c r="J6" s="118">
        <v>0</v>
      </c>
      <c r="K6" s="118">
        <v>0</v>
      </c>
      <c r="L6" s="116">
        <f t="shared" si="0"/>
        <v>60.5</v>
      </c>
      <c r="M6" s="116">
        <v>300</v>
      </c>
      <c r="N6" s="116">
        <f t="shared" si="1"/>
        <v>-239.5</v>
      </c>
      <c r="P6" t="s">
        <v>28</v>
      </c>
      <c r="Q6" s="117">
        <f>SUM(IncomeData[Internet Banking])</f>
        <v>11492.5</v>
      </c>
    </row>
    <row r="7" ht="22.5" customHeight="1" spans="1:17">
      <c r="A7" s="113">
        <v>46028</v>
      </c>
      <c r="B7" s="114" t="s">
        <v>9</v>
      </c>
      <c r="C7" s="114">
        <v>1</v>
      </c>
      <c r="D7" s="114" t="s">
        <v>54</v>
      </c>
      <c r="E7" s="114">
        <v>2</v>
      </c>
      <c r="F7" s="114" t="s">
        <v>32</v>
      </c>
      <c r="G7" s="27">
        <v>70.5</v>
      </c>
      <c r="H7" s="27">
        <v>0</v>
      </c>
      <c r="I7" s="27">
        <v>80.5</v>
      </c>
      <c r="J7" s="27">
        <v>30.5</v>
      </c>
      <c r="K7" s="27">
        <v>0</v>
      </c>
      <c r="L7" s="116">
        <f t="shared" si="0"/>
        <v>181.5</v>
      </c>
      <c r="M7" s="116">
        <v>300</v>
      </c>
      <c r="N7" s="116">
        <f t="shared" si="1"/>
        <v>-118.5</v>
      </c>
    </row>
    <row r="8" ht="22.5" customHeight="1" spans="1:17">
      <c r="A8" s="113">
        <v>46029</v>
      </c>
      <c r="B8" s="114" t="s">
        <v>9</v>
      </c>
      <c r="C8" s="114">
        <v>1</v>
      </c>
      <c r="D8" s="114" t="s">
        <v>54</v>
      </c>
      <c r="E8" s="114">
        <v>2</v>
      </c>
      <c r="F8" s="114" t="s">
        <v>33</v>
      </c>
      <c r="G8" s="27">
        <v>0</v>
      </c>
      <c r="H8" s="118">
        <v>0</v>
      </c>
      <c r="I8" s="118">
        <v>0</v>
      </c>
      <c r="J8" s="118">
        <v>0</v>
      </c>
      <c r="K8" s="118">
        <v>0</v>
      </c>
      <c r="L8" s="116">
        <f t="shared" si="0"/>
        <v>0</v>
      </c>
      <c r="M8" s="116">
        <v>300</v>
      </c>
      <c r="N8" s="116">
        <f t="shared" si="1"/>
        <v>0</v>
      </c>
    </row>
    <row r="9" ht="22.5" customHeight="1" spans="1:17">
      <c r="A9" s="113">
        <v>46030</v>
      </c>
      <c r="B9" s="114" t="s">
        <v>9</v>
      </c>
      <c r="C9" s="114">
        <v>1</v>
      </c>
      <c r="D9" s="114" t="s">
        <v>54</v>
      </c>
      <c r="E9" s="114">
        <v>2</v>
      </c>
      <c r="F9" s="114" t="s">
        <v>34</v>
      </c>
      <c r="G9" s="27">
        <v>70.5</v>
      </c>
      <c r="H9" s="27">
        <v>195.5</v>
      </c>
      <c r="I9" s="27">
        <v>95.5</v>
      </c>
      <c r="J9" s="27">
        <v>20.5</v>
      </c>
      <c r="K9" s="27">
        <v>0</v>
      </c>
      <c r="L9" s="116">
        <f t="shared" si="0"/>
        <v>382</v>
      </c>
      <c r="M9" s="116">
        <v>300</v>
      </c>
      <c r="N9" s="116">
        <f t="shared" si="1"/>
        <v>82</v>
      </c>
    </row>
    <row r="10" ht="22.5" customHeight="1" spans="1:17">
      <c r="A10" s="113">
        <v>46031</v>
      </c>
      <c r="B10" s="114" t="s">
        <v>9</v>
      </c>
      <c r="C10" s="114">
        <v>1</v>
      </c>
      <c r="D10" s="114" t="s">
        <v>54</v>
      </c>
      <c r="E10" s="114">
        <v>2</v>
      </c>
      <c r="F10" s="114" t="s">
        <v>35</v>
      </c>
      <c r="G10" s="27">
        <v>70.5</v>
      </c>
      <c r="H10" s="118">
        <v>185.5</v>
      </c>
      <c r="I10" s="118">
        <v>110.5</v>
      </c>
      <c r="J10" s="118">
        <v>30.5</v>
      </c>
      <c r="K10" s="118">
        <v>0</v>
      </c>
      <c r="L10" s="116">
        <f t="shared" si="0"/>
        <v>397</v>
      </c>
      <c r="M10" s="116">
        <v>300</v>
      </c>
      <c r="N10" s="116">
        <f t="shared" si="1"/>
        <v>97</v>
      </c>
    </row>
    <row r="11" ht="22.5" customHeight="1" spans="1:17">
      <c r="A11" s="113">
        <v>46032</v>
      </c>
      <c r="B11" s="114" t="s">
        <v>9</v>
      </c>
      <c r="C11" s="114">
        <v>1</v>
      </c>
      <c r="D11" s="114" t="s">
        <v>54</v>
      </c>
      <c r="E11" s="114">
        <v>2</v>
      </c>
      <c r="F11" s="114" t="s">
        <v>36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6">
        <f t="shared" si="0"/>
        <v>0</v>
      </c>
      <c r="M11" s="116">
        <v>300</v>
      </c>
      <c r="N11" s="116">
        <f t="shared" si="1"/>
        <v>0</v>
      </c>
    </row>
    <row r="12" ht="22.5" customHeight="1" spans="1:17">
      <c r="A12" s="113">
        <v>46033</v>
      </c>
      <c r="B12" s="114" t="s">
        <v>9</v>
      </c>
      <c r="C12" s="114">
        <v>1</v>
      </c>
      <c r="D12" s="114" t="s">
        <v>54</v>
      </c>
      <c r="E12" s="114">
        <v>3</v>
      </c>
      <c r="F12" s="114" t="s">
        <v>30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6">
        <f t="shared" si="0"/>
        <v>0</v>
      </c>
      <c r="M12" s="116">
        <v>300</v>
      </c>
      <c r="N12" s="116">
        <f t="shared" si="1"/>
        <v>0</v>
      </c>
    </row>
    <row r="13" ht="22.5" customHeight="1" spans="1:17">
      <c r="A13" s="113">
        <v>46034</v>
      </c>
      <c r="B13" s="114" t="s">
        <v>9</v>
      </c>
      <c r="C13" s="114">
        <v>1</v>
      </c>
      <c r="D13" s="114" t="s">
        <v>54</v>
      </c>
      <c r="E13" s="114">
        <v>3</v>
      </c>
      <c r="F13" s="114" t="s">
        <v>31</v>
      </c>
      <c r="G13" s="27">
        <v>55.5</v>
      </c>
      <c r="H13" s="27">
        <v>105.5</v>
      </c>
      <c r="I13" s="27">
        <v>75.5</v>
      </c>
      <c r="J13" s="27">
        <v>0</v>
      </c>
      <c r="K13" s="27">
        <v>100.5</v>
      </c>
      <c r="L13" s="116">
        <f t="shared" si="0"/>
        <v>337</v>
      </c>
      <c r="M13" s="116">
        <v>300</v>
      </c>
      <c r="N13" s="116">
        <f t="shared" si="1"/>
        <v>37</v>
      </c>
    </row>
    <row r="14" ht="22.5" customHeight="1" spans="1:17">
      <c r="A14" s="113">
        <v>46035</v>
      </c>
      <c r="B14" s="114" t="s">
        <v>9</v>
      </c>
      <c r="C14" s="114">
        <v>1</v>
      </c>
      <c r="D14" s="114" t="s">
        <v>54</v>
      </c>
      <c r="E14" s="114">
        <v>3</v>
      </c>
      <c r="F14" s="114" t="s">
        <v>32</v>
      </c>
      <c r="G14" s="27">
        <v>60.5</v>
      </c>
      <c r="H14" s="118">
        <v>120.5</v>
      </c>
      <c r="I14" s="118">
        <v>105.5</v>
      </c>
      <c r="J14" s="118">
        <v>20.5</v>
      </c>
      <c r="K14" s="118">
        <v>0</v>
      </c>
      <c r="L14" s="116">
        <f t="shared" si="0"/>
        <v>307</v>
      </c>
      <c r="M14" s="116">
        <v>300</v>
      </c>
      <c r="N14" s="116">
        <f t="shared" si="1"/>
        <v>7</v>
      </c>
    </row>
    <row r="15" ht="22.5" customHeight="1" spans="1:17">
      <c r="A15" s="113">
        <v>46036</v>
      </c>
      <c r="B15" s="114" t="s">
        <v>9</v>
      </c>
      <c r="C15" s="114">
        <v>1</v>
      </c>
      <c r="D15" s="114" t="s">
        <v>54</v>
      </c>
      <c r="E15" s="114">
        <v>3</v>
      </c>
      <c r="F15" s="114" t="s">
        <v>33</v>
      </c>
      <c r="G15" s="27">
        <v>60.5</v>
      </c>
      <c r="H15" s="27">
        <v>195.5</v>
      </c>
      <c r="I15" s="27">
        <v>125.5</v>
      </c>
      <c r="J15" s="27">
        <v>0</v>
      </c>
      <c r="K15" s="27">
        <v>0</v>
      </c>
      <c r="L15" s="116">
        <f t="shared" si="0"/>
        <v>381.5</v>
      </c>
      <c r="M15" s="116">
        <v>300</v>
      </c>
      <c r="N15" s="116">
        <f t="shared" si="1"/>
        <v>81.5</v>
      </c>
    </row>
    <row r="16" ht="22.5" customHeight="1" spans="1:17">
      <c r="A16" s="113">
        <v>46037</v>
      </c>
      <c r="B16" s="114" t="s">
        <v>9</v>
      </c>
      <c r="C16" s="114">
        <v>1</v>
      </c>
      <c r="D16" s="114" t="s">
        <v>54</v>
      </c>
      <c r="E16" s="114">
        <v>3</v>
      </c>
      <c r="F16" s="114" t="s">
        <v>34</v>
      </c>
      <c r="G16" s="27">
        <v>75.5</v>
      </c>
      <c r="H16" s="118">
        <v>160.5</v>
      </c>
      <c r="I16" s="118">
        <v>0</v>
      </c>
      <c r="J16" s="118">
        <v>15.5</v>
      </c>
      <c r="K16" s="118">
        <v>50.5</v>
      </c>
      <c r="L16" s="116">
        <f t="shared" si="0"/>
        <v>302</v>
      </c>
      <c r="M16" s="116">
        <v>300</v>
      </c>
      <c r="N16" s="116">
        <f t="shared" si="1"/>
        <v>2</v>
      </c>
    </row>
    <row r="17" ht="22.5" customHeight="1" spans="1:14">
      <c r="A17" s="113">
        <v>46038</v>
      </c>
      <c r="B17" s="114" t="s">
        <v>9</v>
      </c>
      <c r="C17" s="114">
        <v>1</v>
      </c>
      <c r="D17" s="114" t="s">
        <v>54</v>
      </c>
      <c r="E17" s="114">
        <v>3</v>
      </c>
      <c r="F17" s="114" t="s">
        <v>35</v>
      </c>
      <c r="G17" s="27">
        <v>60.5</v>
      </c>
      <c r="H17" s="27">
        <v>150.5</v>
      </c>
      <c r="I17" s="27">
        <v>125.5</v>
      </c>
      <c r="J17" s="27">
        <v>0</v>
      </c>
      <c r="K17" s="27">
        <v>50.5</v>
      </c>
      <c r="L17" s="116">
        <f t="shared" si="0"/>
        <v>387</v>
      </c>
      <c r="M17" s="116">
        <v>300</v>
      </c>
      <c r="N17" s="116">
        <f t="shared" si="1"/>
        <v>87</v>
      </c>
    </row>
    <row r="18" ht="22.5" customHeight="1" spans="1:14">
      <c r="A18" s="113">
        <v>46039</v>
      </c>
      <c r="B18" s="114" t="s">
        <v>9</v>
      </c>
      <c r="C18" s="114">
        <v>1</v>
      </c>
      <c r="D18" s="114" t="s">
        <v>54</v>
      </c>
      <c r="E18" s="114">
        <v>3</v>
      </c>
      <c r="F18" s="114" t="s">
        <v>36</v>
      </c>
      <c r="G18" s="115">
        <v>0</v>
      </c>
      <c r="H18" s="115">
        <v>0</v>
      </c>
      <c r="I18" s="115">
        <v>0</v>
      </c>
      <c r="J18" s="115">
        <v>0</v>
      </c>
      <c r="K18" s="115">
        <v>0</v>
      </c>
      <c r="L18" s="116">
        <f t="shared" si="0"/>
        <v>0</v>
      </c>
      <c r="M18" s="116">
        <v>300</v>
      </c>
      <c r="N18" s="116">
        <f t="shared" si="1"/>
        <v>0</v>
      </c>
    </row>
    <row r="19" ht="22.5" customHeight="1" spans="1:14">
      <c r="A19" s="113">
        <v>46040</v>
      </c>
      <c r="B19" s="114" t="s">
        <v>9</v>
      </c>
      <c r="C19" s="114">
        <v>1</v>
      </c>
      <c r="D19" s="114" t="s">
        <v>54</v>
      </c>
      <c r="E19" s="114">
        <v>4</v>
      </c>
      <c r="F19" s="114" t="s">
        <v>30</v>
      </c>
      <c r="G19" s="115">
        <v>0</v>
      </c>
      <c r="H19" s="115">
        <v>0</v>
      </c>
      <c r="I19" s="115">
        <v>0</v>
      </c>
      <c r="J19" s="115">
        <v>0</v>
      </c>
      <c r="K19" s="115">
        <v>0</v>
      </c>
      <c r="L19" s="116">
        <f t="shared" si="0"/>
        <v>0</v>
      </c>
      <c r="M19" s="116">
        <v>300</v>
      </c>
      <c r="N19" s="116">
        <f t="shared" si="1"/>
        <v>0</v>
      </c>
    </row>
    <row r="20" ht="22.5" customHeight="1" spans="1:14">
      <c r="A20" s="113">
        <v>46041</v>
      </c>
      <c r="B20" s="114" t="s">
        <v>9</v>
      </c>
      <c r="C20" s="114">
        <v>1</v>
      </c>
      <c r="D20" s="114" t="s">
        <v>54</v>
      </c>
      <c r="E20" s="114">
        <v>4</v>
      </c>
      <c r="F20" s="114" t="s">
        <v>31</v>
      </c>
      <c r="G20" s="56">
        <v>60.5</v>
      </c>
      <c r="H20" s="27">
        <v>0</v>
      </c>
      <c r="I20" s="56">
        <v>70.5</v>
      </c>
      <c r="J20" s="27">
        <v>0</v>
      </c>
      <c r="K20" s="56">
        <v>65.5</v>
      </c>
      <c r="L20" s="116">
        <f t="shared" si="0"/>
        <v>196.5</v>
      </c>
      <c r="M20" s="116">
        <v>300</v>
      </c>
      <c r="N20" s="116">
        <f t="shared" si="1"/>
        <v>-103.5</v>
      </c>
    </row>
    <row r="21" ht="22.5" customHeight="1" spans="1:14">
      <c r="A21" s="113">
        <v>46042</v>
      </c>
      <c r="B21" s="114" t="s">
        <v>9</v>
      </c>
      <c r="C21" s="114">
        <v>1</v>
      </c>
      <c r="D21" s="114" t="s">
        <v>54</v>
      </c>
      <c r="E21" s="114">
        <v>4</v>
      </c>
      <c r="F21" s="114" t="s">
        <v>32</v>
      </c>
      <c r="G21" s="27">
        <v>25.5</v>
      </c>
      <c r="H21" s="27">
        <v>157.5</v>
      </c>
      <c r="I21" s="27">
        <v>0</v>
      </c>
      <c r="J21" s="27">
        <v>0</v>
      </c>
      <c r="K21" s="27">
        <v>36.5</v>
      </c>
      <c r="L21" s="116">
        <f t="shared" si="0"/>
        <v>219.5</v>
      </c>
      <c r="M21" s="116">
        <v>300</v>
      </c>
      <c r="N21" s="116">
        <f t="shared" si="1"/>
        <v>-80.5</v>
      </c>
    </row>
    <row r="22" ht="22.5" customHeight="1" spans="1:14">
      <c r="A22" s="113">
        <v>46043</v>
      </c>
      <c r="B22" s="114" t="s">
        <v>9</v>
      </c>
      <c r="C22" s="114">
        <v>1</v>
      </c>
      <c r="D22" s="114" t="s">
        <v>54</v>
      </c>
      <c r="E22" s="114">
        <v>4</v>
      </c>
      <c r="F22" s="114" t="s">
        <v>33</v>
      </c>
      <c r="G22" s="27">
        <v>0</v>
      </c>
      <c r="H22" s="27">
        <v>155.5</v>
      </c>
      <c r="I22" s="27">
        <v>90.5</v>
      </c>
      <c r="J22" s="27">
        <v>20.5</v>
      </c>
      <c r="K22" s="27">
        <v>30.5</v>
      </c>
      <c r="L22" s="116">
        <f t="shared" si="0"/>
        <v>297</v>
      </c>
      <c r="M22" s="116">
        <v>300</v>
      </c>
      <c r="N22" s="116">
        <f t="shared" si="1"/>
        <v>-3</v>
      </c>
    </row>
    <row r="23" ht="22.5" customHeight="1" spans="1:14">
      <c r="A23" s="113">
        <v>46044</v>
      </c>
      <c r="B23" s="114" t="s">
        <v>9</v>
      </c>
      <c r="C23" s="114">
        <v>1</v>
      </c>
      <c r="D23" s="114" t="s">
        <v>54</v>
      </c>
      <c r="E23" s="114">
        <v>4</v>
      </c>
      <c r="F23" s="114" t="s">
        <v>34</v>
      </c>
      <c r="G23" s="27">
        <v>70.5</v>
      </c>
      <c r="H23" s="27">
        <v>135.5</v>
      </c>
      <c r="I23" s="27">
        <v>80.5</v>
      </c>
      <c r="J23" s="27">
        <v>0</v>
      </c>
      <c r="K23" s="27">
        <v>0</v>
      </c>
      <c r="L23" s="116">
        <f t="shared" si="0"/>
        <v>286.5</v>
      </c>
      <c r="M23" s="116">
        <v>300</v>
      </c>
      <c r="N23" s="116">
        <f t="shared" si="1"/>
        <v>-13.5</v>
      </c>
    </row>
    <row r="24" ht="22.5" customHeight="1" spans="1:14">
      <c r="A24" s="113">
        <v>46045</v>
      </c>
      <c r="B24" s="114" t="s">
        <v>9</v>
      </c>
      <c r="C24" s="114">
        <v>1</v>
      </c>
      <c r="D24" s="114" t="s">
        <v>54</v>
      </c>
      <c r="E24" s="114">
        <v>4</v>
      </c>
      <c r="F24" s="114" t="s">
        <v>35</v>
      </c>
      <c r="G24" s="27">
        <v>0</v>
      </c>
      <c r="H24" s="27">
        <v>170.5</v>
      </c>
      <c r="I24" s="27">
        <v>135.5</v>
      </c>
      <c r="J24" s="27">
        <v>30.5</v>
      </c>
      <c r="K24" s="27">
        <v>0</v>
      </c>
      <c r="L24" s="116">
        <f t="shared" si="0"/>
        <v>336.5</v>
      </c>
      <c r="M24" s="116">
        <v>300</v>
      </c>
      <c r="N24" s="116">
        <f t="shared" si="1"/>
        <v>36.5</v>
      </c>
    </row>
    <row r="25" ht="22.5" customHeight="1" spans="1:14">
      <c r="A25" s="113">
        <v>46046</v>
      </c>
      <c r="B25" s="114" t="s">
        <v>9</v>
      </c>
      <c r="C25" s="114">
        <v>1</v>
      </c>
      <c r="D25" s="114" t="s">
        <v>54</v>
      </c>
      <c r="E25" s="114">
        <v>4</v>
      </c>
      <c r="F25" s="114" t="s">
        <v>36</v>
      </c>
      <c r="G25" s="115">
        <v>0</v>
      </c>
      <c r="H25" s="115">
        <v>0</v>
      </c>
      <c r="I25" s="115">
        <v>0</v>
      </c>
      <c r="J25" s="115">
        <v>0</v>
      </c>
      <c r="K25" s="115">
        <v>0</v>
      </c>
      <c r="L25" s="116">
        <f t="shared" si="0"/>
        <v>0</v>
      </c>
      <c r="M25" s="116">
        <v>300</v>
      </c>
      <c r="N25" s="116">
        <f t="shared" si="1"/>
        <v>0</v>
      </c>
    </row>
    <row r="26" ht="22.5" customHeight="1" spans="1:14">
      <c r="A26" s="113">
        <v>46047</v>
      </c>
      <c r="B26" s="114" t="s">
        <v>9</v>
      </c>
      <c r="C26" s="114">
        <v>1</v>
      </c>
      <c r="D26" s="114" t="s">
        <v>54</v>
      </c>
      <c r="E26" s="114">
        <v>5</v>
      </c>
      <c r="F26" s="114" t="s">
        <v>30</v>
      </c>
      <c r="G26" s="115">
        <v>0</v>
      </c>
      <c r="H26" s="115">
        <v>0</v>
      </c>
      <c r="I26" s="115">
        <v>0</v>
      </c>
      <c r="J26" s="115">
        <v>0</v>
      </c>
      <c r="K26" s="115">
        <v>0</v>
      </c>
      <c r="L26" s="116">
        <f t="shared" si="0"/>
        <v>0</v>
      </c>
      <c r="M26" s="116">
        <v>300</v>
      </c>
      <c r="N26" s="116">
        <f t="shared" si="1"/>
        <v>0</v>
      </c>
    </row>
    <row r="27" ht="22.5" customHeight="1" spans="1:14">
      <c r="A27" s="113">
        <v>46048</v>
      </c>
      <c r="B27" s="114" t="s">
        <v>9</v>
      </c>
      <c r="C27" s="114">
        <v>1</v>
      </c>
      <c r="D27" s="114" t="s">
        <v>54</v>
      </c>
      <c r="E27" s="114">
        <v>5</v>
      </c>
      <c r="F27" s="114" t="s">
        <v>31</v>
      </c>
      <c r="G27" s="27">
        <v>50.5</v>
      </c>
      <c r="H27" s="27">
        <v>130.5</v>
      </c>
      <c r="I27" s="27">
        <v>80.5</v>
      </c>
      <c r="J27" s="27">
        <v>15.5</v>
      </c>
      <c r="K27" s="27">
        <v>0</v>
      </c>
      <c r="L27" s="116">
        <f t="shared" si="0"/>
        <v>277</v>
      </c>
      <c r="M27" s="116">
        <v>300</v>
      </c>
      <c r="N27" s="116">
        <f t="shared" si="1"/>
        <v>-23</v>
      </c>
    </row>
    <row r="28" ht="22.5" customHeight="1" spans="1:14">
      <c r="A28" s="113">
        <v>46049</v>
      </c>
      <c r="B28" s="114" t="s">
        <v>9</v>
      </c>
      <c r="C28" s="114">
        <v>1</v>
      </c>
      <c r="D28" s="114" t="s">
        <v>54</v>
      </c>
      <c r="E28" s="114">
        <v>5</v>
      </c>
      <c r="F28" s="114" t="s">
        <v>32</v>
      </c>
      <c r="G28" s="27">
        <v>40.5</v>
      </c>
      <c r="H28" s="27">
        <v>110.5</v>
      </c>
      <c r="I28" s="27">
        <v>65.5</v>
      </c>
      <c r="J28" s="27">
        <v>15.5</v>
      </c>
      <c r="K28" s="27">
        <v>30.5</v>
      </c>
      <c r="L28" s="116">
        <f t="shared" si="0"/>
        <v>262.5</v>
      </c>
      <c r="M28" s="116">
        <v>300</v>
      </c>
      <c r="N28" s="116">
        <f t="shared" si="1"/>
        <v>-37.5</v>
      </c>
    </row>
    <row r="29" ht="22.5" customHeight="1" spans="1:14">
      <c r="A29" s="113">
        <v>46050</v>
      </c>
      <c r="B29" s="114" t="s">
        <v>9</v>
      </c>
      <c r="C29" s="114">
        <v>1</v>
      </c>
      <c r="D29" s="114" t="s">
        <v>54</v>
      </c>
      <c r="E29" s="114">
        <v>5</v>
      </c>
      <c r="F29" s="114" t="s">
        <v>33</v>
      </c>
      <c r="G29" s="27">
        <v>0</v>
      </c>
      <c r="H29" s="27">
        <v>240.5</v>
      </c>
      <c r="I29" s="27">
        <v>125.5</v>
      </c>
      <c r="J29" s="27">
        <v>30.5</v>
      </c>
      <c r="K29" s="27">
        <v>0</v>
      </c>
      <c r="L29" s="116">
        <f t="shared" si="0"/>
        <v>396.5</v>
      </c>
      <c r="M29" s="116">
        <v>300</v>
      </c>
      <c r="N29" s="116">
        <f t="shared" si="1"/>
        <v>96.5</v>
      </c>
    </row>
    <row r="30" ht="22.5" customHeight="1" spans="1:14">
      <c r="A30" s="113">
        <v>46051</v>
      </c>
      <c r="B30" s="114" t="s">
        <v>9</v>
      </c>
      <c r="C30" s="114">
        <v>1</v>
      </c>
      <c r="D30" s="114" t="s">
        <v>54</v>
      </c>
      <c r="E30" s="114">
        <v>5</v>
      </c>
      <c r="F30" s="114" t="s">
        <v>34</v>
      </c>
      <c r="G30" s="27">
        <v>0</v>
      </c>
      <c r="H30" s="27">
        <v>180.5</v>
      </c>
      <c r="I30" s="27">
        <v>65.5</v>
      </c>
      <c r="J30" s="27">
        <v>25.5</v>
      </c>
      <c r="K30" s="27">
        <v>100.5</v>
      </c>
      <c r="L30" s="116">
        <f t="shared" si="0"/>
        <v>372</v>
      </c>
      <c r="M30" s="116">
        <v>300</v>
      </c>
      <c r="N30" s="116">
        <f t="shared" si="1"/>
        <v>72</v>
      </c>
    </row>
    <row r="31" ht="22.5" customHeight="1" spans="1:14">
      <c r="A31" s="113">
        <v>46052</v>
      </c>
      <c r="B31" s="114" t="s">
        <v>9</v>
      </c>
      <c r="C31" s="114">
        <v>1</v>
      </c>
      <c r="D31" s="114" t="s">
        <v>54</v>
      </c>
      <c r="E31" s="114">
        <v>5</v>
      </c>
      <c r="F31" s="114" t="s">
        <v>35</v>
      </c>
      <c r="G31" s="27">
        <v>59.5</v>
      </c>
      <c r="H31" s="27">
        <v>160.5</v>
      </c>
      <c r="I31" s="27">
        <v>0</v>
      </c>
      <c r="J31" s="27">
        <v>0</v>
      </c>
      <c r="K31" s="27">
        <v>49.5</v>
      </c>
      <c r="L31" s="116">
        <f t="shared" si="0"/>
        <v>269.5</v>
      </c>
      <c r="M31" s="116">
        <v>300</v>
      </c>
      <c r="N31" s="116">
        <f t="shared" si="1"/>
        <v>-30.5</v>
      </c>
    </row>
    <row r="32" ht="22.5" customHeight="1" spans="1:14">
      <c r="A32" s="113">
        <v>46053</v>
      </c>
      <c r="B32" s="114" t="s">
        <v>9</v>
      </c>
      <c r="C32" s="114">
        <v>1</v>
      </c>
      <c r="D32" s="114" t="s">
        <v>54</v>
      </c>
      <c r="E32" s="114">
        <v>5</v>
      </c>
      <c r="F32" s="114" t="s">
        <v>36</v>
      </c>
      <c r="G32" s="115">
        <v>0</v>
      </c>
      <c r="H32" s="115">
        <v>0</v>
      </c>
      <c r="I32" s="115">
        <v>0</v>
      </c>
      <c r="J32" s="115">
        <v>0</v>
      </c>
      <c r="K32" s="115">
        <v>0</v>
      </c>
      <c r="L32" s="116">
        <f t="shared" si="0"/>
        <v>0</v>
      </c>
      <c r="M32" s="116">
        <v>300</v>
      </c>
      <c r="N32" s="116">
        <f t="shared" si="1"/>
        <v>0</v>
      </c>
    </row>
    <row r="33" ht="22.5" customHeight="1" spans="1:14">
      <c r="A33" s="113">
        <v>46054</v>
      </c>
      <c r="B33" s="114" t="s">
        <v>10</v>
      </c>
      <c r="C33" s="114">
        <v>2</v>
      </c>
      <c r="D33" s="114" t="s">
        <v>54</v>
      </c>
      <c r="E33" s="114">
        <v>6</v>
      </c>
      <c r="F33" s="114" t="s">
        <v>30</v>
      </c>
      <c r="G33" s="115">
        <v>0</v>
      </c>
      <c r="H33" s="115">
        <v>0</v>
      </c>
      <c r="I33" s="115">
        <v>0</v>
      </c>
      <c r="J33" s="115">
        <v>0</v>
      </c>
      <c r="K33" s="115">
        <v>0</v>
      </c>
      <c r="L33" s="116">
        <f t="shared" si="0"/>
        <v>0</v>
      </c>
      <c r="M33" s="116">
        <v>300</v>
      </c>
      <c r="N33" s="116">
        <f t="shared" si="1"/>
        <v>0</v>
      </c>
    </row>
    <row r="34" ht="22.5" customHeight="1" spans="1:14">
      <c r="A34" s="113">
        <v>46055</v>
      </c>
      <c r="B34" s="114" t="s">
        <v>10</v>
      </c>
      <c r="C34" s="114">
        <v>2</v>
      </c>
      <c r="D34" s="114" t="s">
        <v>54</v>
      </c>
      <c r="E34" s="114">
        <v>6</v>
      </c>
      <c r="F34" s="114" t="s">
        <v>31</v>
      </c>
      <c r="G34" s="27">
        <v>55.5</v>
      </c>
      <c r="H34" s="27">
        <v>245.5</v>
      </c>
      <c r="I34" s="27">
        <v>65.5</v>
      </c>
      <c r="J34" s="27">
        <v>0</v>
      </c>
      <c r="K34" s="27">
        <v>0</v>
      </c>
      <c r="L34" s="116">
        <f t="shared" si="0"/>
        <v>366.5</v>
      </c>
      <c r="M34" s="116">
        <v>300</v>
      </c>
      <c r="N34" s="116">
        <f t="shared" si="1"/>
        <v>66.5</v>
      </c>
    </row>
    <row r="35" ht="22.5" customHeight="1" spans="1:14">
      <c r="A35" s="113">
        <v>46056</v>
      </c>
      <c r="B35" s="114" t="s">
        <v>10</v>
      </c>
      <c r="C35" s="114">
        <v>2</v>
      </c>
      <c r="D35" s="114" t="s">
        <v>54</v>
      </c>
      <c r="E35" s="114">
        <v>6</v>
      </c>
      <c r="F35" s="114" t="s">
        <v>32</v>
      </c>
      <c r="G35" s="27">
        <v>50.5</v>
      </c>
      <c r="H35" s="27">
        <v>140.5</v>
      </c>
      <c r="I35" s="27">
        <v>70.5</v>
      </c>
      <c r="J35" s="27">
        <v>0</v>
      </c>
      <c r="K35" s="27">
        <v>40.5</v>
      </c>
      <c r="L35" s="116">
        <f t="shared" si="0"/>
        <v>302</v>
      </c>
      <c r="M35" s="116">
        <v>300</v>
      </c>
      <c r="N35" s="116">
        <f t="shared" si="1"/>
        <v>2</v>
      </c>
    </row>
    <row r="36" ht="22.5" customHeight="1" spans="1:14">
      <c r="A36" s="113">
        <v>46057</v>
      </c>
      <c r="B36" s="114" t="s">
        <v>10</v>
      </c>
      <c r="C36" s="114">
        <v>2</v>
      </c>
      <c r="D36" s="114" t="s">
        <v>54</v>
      </c>
      <c r="E36" s="114">
        <v>6</v>
      </c>
      <c r="F36" s="114" t="s">
        <v>33</v>
      </c>
      <c r="G36" s="27">
        <v>30.5</v>
      </c>
      <c r="H36" s="27">
        <v>140.5</v>
      </c>
      <c r="I36" s="27">
        <v>0</v>
      </c>
      <c r="J36" s="27">
        <v>0</v>
      </c>
      <c r="K36" s="27">
        <v>0</v>
      </c>
      <c r="L36" s="116">
        <f t="shared" si="0"/>
        <v>171</v>
      </c>
      <c r="M36" s="116">
        <v>300</v>
      </c>
      <c r="N36" s="116">
        <f t="shared" si="1"/>
        <v>-129</v>
      </c>
    </row>
    <row r="37" ht="22.5" customHeight="1" spans="1:14">
      <c r="A37" s="113">
        <v>46058</v>
      </c>
      <c r="B37" s="114" t="s">
        <v>10</v>
      </c>
      <c r="C37" s="114">
        <v>2</v>
      </c>
      <c r="D37" s="114" t="s">
        <v>54</v>
      </c>
      <c r="E37" s="114">
        <v>6</v>
      </c>
      <c r="F37" s="114" t="s">
        <v>34</v>
      </c>
      <c r="G37" s="27">
        <v>90.5</v>
      </c>
      <c r="H37" s="27">
        <v>200.5</v>
      </c>
      <c r="I37" s="27">
        <v>95.5</v>
      </c>
      <c r="J37" s="27">
        <v>0</v>
      </c>
      <c r="K37" s="27">
        <v>0</v>
      </c>
      <c r="L37" s="116">
        <f t="shared" si="0"/>
        <v>386.5</v>
      </c>
      <c r="M37" s="116">
        <v>300</v>
      </c>
      <c r="N37" s="116">
        <f t="shared" si="1"/>
        <v>86.5</v>
      </c>
    </row>
    <row r="38" ht="22.5" customHeight="1" spans="1:14">
      <c r="A38" s="113">
        <v>46059</v>
      </c>
      <c r="B38" s="114" t="s">
        <v>10</v>
      </c>
      <c r="C38" s="114">
        <v>2</v>
      </c>
      <c r="D38" s="114" t="s">
        <v>54</v>
      </c>
      <c r="E38" s="114">
        <v>6</v>
      </c>
      <c r="F38" s="114" t="s">
        <v>35</v>
      </c>
      <c r="G38" s="56">
        <v>65.5</v>
      </c>
      <c r="H38" s="56">
        <v>155.5</v>
      </c>
      <c r="I38" s="56">
        <v>85.5</v>
      </c>
      <c r="J38" s="86">
        <v>0</v>
      </c>
      <c r="K38" s="56">
        <v>50.5</v>
      </c>
      <c r="L38" s="116">
        <f t="shared" si="0"/>
        <v>357</v>
      </c>
      <c r="M38" s="116">
        <v>300</v>
      </c>
      <c r="N38" s="116">
        <f t="shared" si="1"/>
        <v>57</v>
      </c>
    </row>
    <row r="39" ht="22.5" customHeight="1" spans="1:14">
      <c r="A39" s="113">
        <v>46060</v>
      </c>
      <c r="B39" s="114" t="s">
        <v>10</v>
      </c>
      <c r="C39" s="114">
        <v>2</v>
      </c>
      <c r="D39" s="114" t="s">
        <v>54</v>
      </c>
      <c r="E39" s="114">
        <v>6</v>
      </c>
      <c r="F39" s="114" t="s">
        <v>36</v>
      </c>
      <c r="G39" s="115">
        <v>0</v>
      </c>
      <c r="H39" s="115">
        <v>0</v>
      </c>
      <c r="I39" s="115">
        <v>0</v>
      </c>
      <c r="J39" s="115">
        <v>0</v>
      </c>
      <c r="K39" s="115">
        <v>0</v>
      </c>
      <c r="L39" s="116">
        <f t="shared" si="0"/>
        <v>0</v>
      </c>
      <c r="M39" s="116">
        <v>300</v>
      </c>
      <c r="N39" s="116">
        <f t="shared" si="1"/>
        <v>0</v>
      </c>
    </row>
    <row r="40" ht="22.5" customHeight="1" spans="1:14">
      <c r="A40" s="113">
        <v>46061</v>
      </c>
      <c r="B40" s="114" t="s">
        <v>10</v>
      </c>
      <c r="C40" s="114">
        <v>2</v>
      </c>
      <c r="D40" s="114" t="s">
        <v>54</v>
      </c>
      <c r="E40" s="114">
        <v>7</v>
      </c>
      <c r="F40" s="114" t="s">
        <v>30</v>
      </c>
      <c r="G40" s="115">
        <v>0</v>
      </c>
      <c r="H40" s="115">
        <v>0</v>
      </c>
      <c r="I40" s="115">
        <v>0</v>
      </c>
      <c r="J40" s="115">
        <v>0</v>
      </c>
      <c r="K40" s="115">
        <v>0</v>
      </c>
      <c r="L40" s="116">
        <f t="shared" si="0"/>
        <v>0</v>
      </c>
      <c r="M40" s="116">
        <v>300</v>
      </c>
      <c r="N40" s="116">
        <f t="shared" si="1"/>
        <v>0</v>
      </c>
    </row>
    <row r="41" ht="22.5" customHeight="1" spans="1:14">
      <c r="A41" s="113">
        <v>46062</v>
      </c>
      <c r="B41" s="114" t="s">
        <v>10</v>
      </c>
      <c r="C41" s="114">
        <v>2</v>
      </c>
      <c r="D41" s="114" t="s">
        <v>54</v>
      </c>
      <c r="E41" s="114">
        <v>7</v>
      </c>
      <c r="F41" s="114" t="s">
        <v>31</v>
      </c>
      <c r="G41" s="27">
        <v>56.5</v>
      </c>
      <c r="H41" s="27">
        <v>120.5</v>
      </c>
      <c r="I41" s="27">
        <v>0</v>
      </c>
      <c r="J41" s="27">
        <v>0</v>
      </c>
      <c r="K41" s="27">
        <v>36.5</v>
      </c>
      <c r="L41" s="116">
        <f t="shared" si="0"/>
        <v>213.5</v>
      </c>
      <c r="M41" s="116">
        <v>300</v>
      </c>
      <c r="N41" s="116">
        <f t="shared" si="1"/>
        <v>-86.5</v>
      </c>
    </row>
    <row r="42" ht="22.5" customHeight="1" spans="1:14">
      <c r="A42" s="113">
        <v>46063</v>
      </c>
      <c r="B42" s="114" t="s">
        <v>10</v>
      </c>
      <c r="C42" s="114">
        <v>2</v>
      </c>
      <c r="D42" s="114" t="s">
        <v>54</v>
      </c>
      <c r="E42" s="114">
        <v>7</v>
      </c>
      <c r="F42" s="114" t="s">
        <v>32</v>
      </c>
      <c r="G42" s="27">
        <v>0</v>
      </c>
      <c r="H42" s="27">
        <v>150.5</v>
      </c>
      <c r="I42" s="27">
        <v>90.5</v>
      </c>
      <c r="J42" s="27">
        <v>0</v>
      </c>
      <c r="K42" s="27">
        <v>67.5</v>
      </c>
      <c r="L42" s="116">
        <f t="shared" si="0"/>
        <v>308.5</v>
      </c>
      <c r="M42" s="116">
        <v>300</v>
      </c>
      <c r="N42" s="116">
        <f t="shared" si="1"/>
        <v>8.5</v>
      </c>
    </row>
    <row r="43" ht="22.5" customHeight="1" spans="1:14">
      <c r="A43" s="113">
        <v>46064</v>
      </c>
      <c r="B43" s="114" t="s">
        <v>10</v>
      </c>
      <c r="C43" s="114">
        <v>2</v>
      </c>
      <c r="D43" s="114" t="s">
        <v>54</v>
      </c>
      <c r="E43" s="114">
        <v>7</v>
      </c>
      <c r="F43" s="114" t="s">
        <v>33</v>
      </c>
      <c r="G43" s="27">
        <v>50.5</v>
      </c>
      <c r="H43" s="27">
        <v>160.5</v>
      </c>
      <c r="I43" s="27">
        <v>115.5</v>
      </c>
      <c r="J43" s="27">
        <v>0</v>
      </c>
      <c r="K43" s="27">
        <v>34.5</v>
      </c>
      <c r="L43" s="116">
        <f t="shared" si="0"/>
        <v>361</v>
      </c>
      <c r="M43" s="116">
        <v>300</v>
      </c>
      <c r="N43" s="116">
        <f t="shared" si="1"/>
        <v>61</v>
      </c>
    </row>
    <row r="44" ht="22.5" customHeight="1" spans="1:14">
      <c r="A44" s="113">
        <v>46065</v>
      </c>
      <c r="B44" s="114" t="s">
        <v>10</v>
      </c>
      <c r="C44" s="114">
        <v>2</v>
      </c>
      <c r="D44" s="114" t="s">
        <v>54</v>
      </c>
      <c r="E44" s="114">
        <v>7</v>
      </c>
      <c r="F44" s="114" t="s">
        <v>34</v>
      </c>
      <c r="G44" s="27">
        <v>0</v>
      </c>
      <c r="H44" s="27">
        <v>195.5</v>
      </c>
      <c r="I44" s="27">
        <v>95.5</v>
      </c>
      <c r="J44" s="27">
        <v>15.5</v>
      </c>
      <c r="K44" s="27">
        <v>10.5</v>
      </c>
      <c r="L44" s="116">
        <f t="shared" si="0"/>
        <v>317</v>
      </c>
      <c r="M44" s="116">
        <v>300</v>
      </c>
      <c r="N44" s="116">
        <f t="shared" si="1"/>
        <v>17</v>
      </c>
    </row>
    <row r="45" ht="22.5" customHeight="1" spans="1:14">
      <c r="A45" s="113">
        <v>46066</v>
      </c>
      <c r="B45" s="114" t="s">
        <v>10</v>
      </c>
      <c r="C45" s="114">
        <v>2</v>
      </c>
      <c r="D45" s="114" t="s">
        <v>54</v>
      </c>
      <c r="E45" s="114">
        <v>7</v>
      </c>
      <c r="F45" s="114" t="s">
        <v>35</v>
      </c>
      <c r="G45" s="27">
        <v>100.5</v>
      </c>
      <c r="H45" s="27">
        <v>230.5</v>
      </c>
      <c r="I45" s="27">
        <v>75.5</v>
      </c>
      <c r="J45" s="27">
        <v>30.5</v>
      </c>
      <c r="K45" s="27">
        <v>100.5</v>
      </c>
      <c r="L45" s="116">
        <f t="shared" si="0"/>
        <v>537.5</v>
      </c>
      <c r="M45" s="116">
        <v>300</v>
      </c>
      <c r="N45" s="116">
        <f t="shared" si="1"/>
        <v>237.5</v>
      </c>
    </row>
    <row r="46" ht="22.5" customHeight="1" spans="1:14">
      <c r="A46" s="113">
        <v>46067</v>
      </c>
      <c r="B46" s="114" t="s">
        <v>10</v>
      </c>
      <c r="C46" s="114">
        <v>2</v>
      </c>
      <c r="D46" s="114" t="s">
        <v>54</v>
      </c>
      <c r="E46" s="114">
        <v>7</v>
      </c>
      <c r="F46" s="114" t="s">
        <v>36</v>
      </c>
      <c r="G46" s="115">
        <v>0</v>
      </c>
      <c r="H46" s="115">
        <v>0</v>
      </c>
      <c r="I46" s="115">
        <v>0</v>
      </c>
      <c r="J46" s="115">
        <v>0</v>
      </c>
      <c r="K46" s="115">
        <v>0</v>
      </c>
      <c r="L46" s="116">
        <f t="shared" si="0"/>
        <v>0</v>
      </c>
      <c r="M46" s="116">
        <v>300</v>
      </c>
      <c r="N46" s="116">
        <f t="shared" si="1"/>
        <v>0</v>
      </c>
    </row>
    <row r="47" ht="22.5" customHeight="1" spans="1:14">
      <c r="A47" s="113">
        <v>46068</v>
      </c>
      <c r="B47" s="114" t="s">
        <v>10</v>
      </c>
      <c r="C47" s="114">
        <v>2</v>
      </c>
      <c r="D47" s="114" t="s">
        <v>54</v>
      </c>
      <c r="E47" s="114">
        <v>8</v>
      </c>
      <c r="F47" s="114" t="s">
        <v>30</v>
      </c>
      <c r="G47" s="115">
        <v>0</v>
      </c>
      <c r="H47" s="115">
        <v>0</v>
      </c>
      <c r="I47" s="115">
        <v>0</v>
      </c>
      <c r="J47" s="115">
        <v>0</v>
      </c>
      <c r="K47" s="115">
        <v>0</v>
      </c>
      <c r="L47" s="116">
        <f t="shared" si="0"/>
        <v>0</v>
      </c>
      <c r="M47" s="116">
        <v>300</v>
      </c>
      <c r="N47" s="116">
        <f t="shared" si="1"/>
        <v>0</v>
      </c>
    </row>
    <row r="48" ht="22.5" customHeight="1" spans="1:14">
      <c r="A48" s="113">
        <v>46069</v>
      </c>
      <c r="B48" s="114" t="s">
        <v>10</v>
      </c>
      <c r="C48" s="114">
        <v>2</v>
      </c>
      <c r="D48" s="114" t="s">
        <v>54</v>
      </c>
      <c r="E48" s="114">
        <v>8</v>
      </c>
      <c r="F48" s="114" t="s">
        <v>31</v>
      </c>
      <c r="G48" s="27">
        <v>70.5</v>
      </c>
      <c r="H48" s="27">
        <v>0</v>
      </c>
      <c r="I48" s="27">
        <v>75.5</v>
      </c>
      <c r="J48" s="27">
        <v>0</v>
      </c>
      <c r="K48" s="27">
        <v>65.5</v>
      </c>
      <c r="L48" s="116">
        <f t="shared" si="0"/>
        <v>211.5</v>
      </c>
      <c r="M48" s="116">
        <v>300</v>
      </c>
      <c r="N48" s="116">
        <f t="shared" si="1"/>
        <v>-88.5</v>
      </c>
    </row>
    <row r="49" ht="22.5" customHeight="1" spans="1:14">
      <c r="A49" s="113">
        <v>46070</v>
      </c>
      <c r="B49" s="114" t="s">
        <v>10</v>
      </c>
      <c r="C49" s="114">
        <v>2</v>
      </c>
      <c r="D49" s="114" t="s">
        <v>54</v>
      </c>
      <c r="E49" s="114">
        <v>8</v>
      </c>
      <c r="F49" s="114" t="s">
        <v>32</v>
      </c>
      <c r="G49" s="27">
        <v>27.5</v>
      </c>
      <c r="H49" s="27">
        <v>150.5</v>
      </c>
      <c r="I49" s="27">
        <v>0</v>
      </c>
      <c r="J49" s="27">
        <v>0</v>
      </c>
      <c r="K49" s="27">
        <v>35.5</v>
      </c>
      <c r="L49" s="116">
        <f t="shared" si="0"/>
        <v>213.5</v>
      </c>
      <c r="M49" s="116">
        <v>300</v>
      </c>
      <c r="N49" s="116">
        <f t="shared" si="1"/>
        <v>-86.5</v>
      </c>
    </row>
    <row r="50" ht="22.5" customHeight="1" spans="1:14">
      <c r="A50" s="113">
        <v>46071</v>
      </c>
      <c r="B50" s="114" t="s">
        <v>10</v>
      </c>
      <c r="C50" s="114">
        <v>2</v>
      </c>
      <c r="D50" s="114" t="s">
        <v>54</v>
      </c>
      <c r="E50" s="114">
        <v>8</v>
      </c>
      <c r="F50" s="114" t="s">
        <v>33</v>
      </c>
      <c r="G50" s="27">
        <v>60.5</v>
      </c>
      <c r="H50" s="27">
        <v>210.5</v>
      </c>
      <c r="I50" s="27">
        <v>0</v>
      </c>
      <c r="J50" s="27">
        <v>20.5</v>
      </c>
      <c r="K50" s="27">
        <v>40.5</v>
      </c>
      <c r="L50" s="116">
        <f t="shared" si="0"/>
        <v>332</v>
      </c>
      <c r="M50" s="116">
        <v>300</v>
      </c>
      <c r="N50" s="116">
        <f t="shared" si="1"/>
        <v>32</v>
      </c>
    </row>
    <row r="51" ht="22.5" customHeight="1" spans="1:14">
      <c r="A51" s="113">
        <v>46072</v>
      </c>
      <c r="B51" s="114" t="s">
        <v>10</v>
      </c>
      <c r="C51" s="114">
        <v>2</v>
      </c>
      <c r="D51" s="114" t="s">
        <v>54</v>
      </c>
      <c r="E51" s="114">
        <v>8</v>
      </c>
      <c r="F51" s="114" t="s">
        <v>34</v>
      </c>
      <c r="G51" s="27">
        <v>75.5</v>
      </c>
      <c r="H51" s="27">
        <v>180.5</v>
      </c>
      <c r="I51" s="27">
        <v>60.5</v>
      </c>
      <c r="J51" s="27">
        <v>10.5</v>
      </c>
      <c r="K51" s="27">
        <v>50.5</v>
      </c>
      <c r="L51" s="116">
        <f t="shared" si="0"/>
        <v>377.5</v>
      </c>
      <c r="M51" s="116">
        <v>300</v>
      </c>
      <c r="N51" s="116">
        <f t="shared" si="1"/>
        <v>77.5</v>
      </c>
    </row>
    <row r="52" ht="22.5" customHeight="1" spans="1:14">
      <c r="A52" s="113">
        <v>46073</v>
      </c>
      <c r="B52" s="114" t="s">
        <v>10</v>
      </c>
      <c r="C52" s="114">
        <v>2</v>
      </c>
      <c r="D52" s="114" t="s">
        <v>54</v>
      </c>
      <c r="E52" s="114">
        <v>8</v>
      </c>
      <c r="F52" s="114" t="s">
        <v>35</v>
      </c>
      <c r="G52" s="27">
        <v>90.5</v>
      </c>
      <c r="H52" s="27">
        <v>200.5</v>
      </c>
      <c r="I52" s="27">
        <v>135.5</v>
      </c>
      <c r="J52" s="27">
        <v>10.5</v>
      </c>
      <c r="K52" s="27">
        <v>50.5</v>
      </c>
      <c r="L52" s="116">
        <f t="shared" si="0"/>
        <v>487.5</v>
      </c>
      <c r="M52" s="116">
        <v>300</v>
      </c>
      <c r="N52" s="116">
        <f t="shared" si="1"/>
        <v>187.5</v>
      </c>
    </row>
    <row r="53" ht="22.5" customHeight="1" spans="1:14">
      <c r="A53" s="113">
        <v>46074</v>
      </c>
      <c r="B53" s="114" t="s">
        <v>10</v>
      </c>
      <c r="C53" s="114">
        <v>2</v>
      </c>
      <c r="D53" s="114" t="s">
        <v>54</v>
      </c>
      <c r="E53" s="114">
        <v>8</v>
      </c>
      <c r="F53" s="114" t="s">
        <v>36</v>
      </c>
      <c r="G53" s="115">
        <v>0</v>
      </c>
      <c r="H53" s="115">
        <v>0</v>
      </c>
      <c r="I53" s="115">
        <v>0</v>
      </c>
      <c r="J53" s="115">
        <v>0</v>
      </c>
      <c r="K53" s="115">
        <v>0</v>
      </c>
      <c r="L53" s="116">
        <f t="shared" si="0"/>
        <v>0</v>
      </c>
      <c r="M53" s="116">
        <v>300</v>
      </c>
      <c r="N53" s="116">
        <f t="shared" si="1"/>
        <v>0</v>
      </c>
    </row>
    <row r="54" ht="22.5" customHeight="1" spans="1:14">
      <c r="A54" s="113">
        <v>46075</v>
      </c>
      <c r="B54" s="114" t="s">
        <v>10</v>
      </c>
      <c r="C54" s="114">
        <v>2</v>
      </c>
      <c r="D54" s="114" t="s">
        <v>54</v>
      </c>
      <c r="E54" s="114">
        <v>9</v>
      </c>
      <c r="F54" s="114" t="s">
        <v>30</v>
      </c>
      <c r="G54" s="115">
        <v>0</v>
      </c>
      <c r="H54" s="115">
        <v>0</v>
      </c>
      <c r="I54" s="115">
        <v>0</v>
      </c>
      <c r="J54" s="115">
        <v>0</v>
      </c>
      <c r="K54" s="115">
        <v>0</v>
      </c>
      <c r="L54" s="116">
        <f t="shared" si="0"/>
        <v>0</v>
      </c>
      <c r="M54" s="116">
        <v>300</v>
      </c>
      <c r="N54" s="116">
        <f t="shared" si="1"/>
        <v>0</v>
      </c>
    </row>
    <row r="55" ht="22.5" customHeight="1" spans="1:14">
      <c r="A55" s="113">
        <v>46076</v>
      </c>
      <c r="B55" s="114" t="s">
        <v>10</v>
      </c>
      <c r="C55" s="114">
        <v>2</v>
      </c>
      <c r="D55" s="114" t="s">
        <v>54</v>
      </c>
      <c r="E55" s="114">
        <v>9</v>
      </c>
      <c r="F55" s="114" t="s">
        <v>31</v>
      </c>
      <c r="G55" s="27">
        <v>45.5</v>
      </c>
      <c r="H55" s="27">
        <v>125.5</v>
      </c>
      <c r="I55" s="27">
        <v>80.5</v>
      </c>
      <c r="J55" s="27">
        <v>20.5</v>
      </c>
      <c r="K55" s="27">
        <v>65.5</v>
      </c>
      <c r="L55" s="116">
        <f t="shared" si="0"/>
        <v>337.5</v>
      </c>
      <c r="M55" s="116">
        <v>300</v>
      </c>
      <c r="N55" s="116">
        <f t="shared" si="1"/>
        <v>37.5</v>
      </c>
    </row>
    <row r="56" ht="22.5" customHeight="1" spans="1:14">
      <c r="A56" s="113">
        <v>46077</v>
      </c>
      <c r="B56" s="114" t="s">
        <v>10</v>
      </c>
      <c r="C56" s="114">
        <v>2</v>
      </c>
      <c r="D56" s="114" t="s">
        <v>54</v>
      </c>
      <c r="E56" s="114">
        <v>9</v>
      </c>
      <c r="F56" s="114" t="s">
        <v>32</v>
      </c>
      <c r="G56" s="27">
        <v>24.5</v>
      </c>
      <c r="H56" s="27">
        <v>137.5</v>
      </c>
      <c r="I56" s="27">
        <v>0</v>
      </c>
      <c r="J56" s="27">
        <v>0</v>
      </c>
      <c r="K56" s="27">
        <v>46.5</v>
      </c>
      <c r="L56" s="116">
        <f t="shared" si="0"/>
        <v>208.5</v>
      </c>
      <c r="M56" s="116">
        <v>300</v>
      </c>
      <c r="N56" s="116">
        <f t="shared" si="1"/>
        <v>-91.5</v>
      </c>
    </row>
    <row r="57" ht="22.5" customHeight="1" spans="1:14">
      <c r="A57" s="113">
        <v>46078</v>
      </c>
      <c r="B57" s="114" t="s">
        <v>10</v>
      </c>
      <c r="C57" s="114">
        <v>2</v>
      </c>
      <c r="D57" s="114" t="s">
        <v>54</v>
      </c>
      <c r="E57" s="114">
        <v>9</v>
      </c>
      <c r="F57" s="114" t="s">
        <v>33</v>
      </c>
      <c r="G57" s="27">
        <v>50.5</v>
      </c>
      <c r="H57" s="27">
        <v>165.5</v>
      </c>
      <c r="I57" s="27">
        <v>70.5</v>
      </c>
      <c r="J57" s="27">
        <v>0</v>
      </c>
      <c r="K57" s="27">
        <v>80.5</v>
      </c>
      <c r="L57" s="116">
        <f t="shared" si="0"/>
        <v>367</v>
      </c>
      <c r="M57" s="116">
        <v>300</v>
      </c>
      <c r="N57" s="116">
        <f t="shared" si="1"/>
        <v>67</v>
      </c>
    </row>
    <row r="58" ht="22.5" customHeight="1" spans="1:14">
      <c r="A58" s="113">
        <v>46079</v>
      </c>
      <c r="B58" s="114" t="s">
        <v>10</v>
      </c>
      <c r="C58" s="114">
        <v>2</v>
      </c>
      <c r="D58" s="114" t="s">
        <v>54</v>
      </c>
      <c r="E58" s="114">
        <v>9</v>
      </c>
      <c r="F58" s="114" t="s">
        <v>34</v>
      </c>
      <c r="G58" s="27">
        <v>0</v>
      </c>
      <c r="H58" s="27">
        <v>195.5</v>
      </c>
      <c r="I58" s="27">
        <v>125.5</v>
      </c>
      <c r="J58" s="27">
        <v>0</v>
      </c>
      <c r="K58" s="27">
        <v>100.5</v>
      </c>
      <c r="L58" s="116">
        <f t="shared" si="0"/>
        <v>421.5</v>
      </c>
      <c r="M58" s="116">
        <v>300</v>
      </c>
      <c r="N58" s="116">
        <f t="shared" si="1"/>
        <v>121.5</v>
      </c>
    </row>
    <row r="59" ht="22.5" customHeight="1" spans="1:14">
      <c r="A59" s="113">
        <v>46080</v>
      </c>
      <c r="B59" s="114" t="s">
        <v>10</v>
      </c>
      <c r="C59" s="114">
        <v>2</v>
      </c>
      <c r="D59" s="114" t="s">
        <v>54</v>
      </c>
      <c r="E59" s="114">
        <v>9</v>
      </c>
      <c r="F59" s="114" t="s">
        <v>35</v>
      </c>
      <c r="G59" s="27">
        <v>125.5</v>
      </c>
      <c r="H59" s="27">
        <v>250.5</v>
      </c>
      <c r="I59" s="27">
        <v>160.5</v>
      </c>
      <c r="J59" s="27">
        <v>25.5</v>
      </c>
      <c r="K59" s="27">
        <v>100.5</v>
      </c>
      <c r="L59" s="116">
        <f t="shared" si="0"/>
        <v>662.5</v>
      </c>
      <c r="M59" s="116">
        <v>300</v>
      </c>
      <c r="N59" s="116">
        <f t="shared" si="1"/>
        <v>362.5</v>
      </c>
    </row>
    <row r="60" ht="22.5" customHeight="1" spans="1:14">
      <c r="A60" s="113">
        <v>46081</v>
      </c>
      <c r="B60" s="114" t="s">
        <v>10</v>
      </c>
      <c r="C60" s="114">
        <v>2</v>
      </c>
      <c r="D60" s="114" t="s">
        <v>54</v>
      </c>
      <c r="E60" s="114">
        <v>9</v>
      </c>
      <c r="F60" s="114" t="s">
        <v>36</v>
      </c>
      <c r="G60" s="115">
        <v>0</v>
      </c>
      <c r="H60" s="115">
        <v>0</v>
      </c>
      <c r="I60" s="115">
        <v>0</v>
      </c>
      <c r="J60" s="115">
        <v>0</v>
      </c>
      <c r="K60" s="115">
        <v>0</v>
      </c>
      <c r="L60" s="116">
        <f t="shared" si="0"/>
        <v>0</v>
      </c>
      <c r="M60" s="116">
        <v>300</v>
      </c>
      <c r="N60" s="116">
        <f t="shared" si="1"/>
        <v>0</v>
      </c>
    </row>
    <row r="61" ht="22.5" customHeight="1" spans="1:14">
      <c r="A61" s="113">
        <v>46082</v>
      </c>
      <c r="B61" s="114" t="s">
        <v>11</v>
      </c>
      <c r="C61" s="114">
        <v>3</v>
      </c>
      <c r="D61" s="114" t="s">
        <v>54</v>
      </c>
      <c r="E61" s="114">
        <v>10</v>
      </c>
      <c r="F61" s="114" t="s">
        <v>30</v>
      </c>
      <c r="G61" s="115">
        <v>0</v>
      </c>
      <c r="H61" s="115">
        <v>0</v>
      </c>
      <c r="I61" s="115">
        <v>0</v>
      </c>
      <c r="J61" s="115">
        <v>0</v>
      </c>
      <c r="K61" s="115">
        <v>0</v>
      </c>
      <c r="L61" s="116">
        <f t="shared" si="0"/>
        <v>0</v>
      </c>
      <c r="M61" s="116">
        <v>300</v>
      </c>
      <c r="N61" s="116">
        <f t="shared" si="1"/>
        <v>0</v>
      </c>
    </row>
    <row r="62" ht="22.5" customHeight="1" spans="1:14">
      <c r="A62" s="113">
        <v>46083</v>
      </c>
      <c r="B62" s="114" t="s">
        <v>11</v>
      </c>
      <c r="C62" s="114">
        <v>3</v>
      </c>
      <c r="D62" s="114" t="s">
        <v>54</v>
      </c>
      <c r="E62" s="114">
        <v>10</v>
      </c>
      <c r="F62" s="114" t="s">
        <v>31</v>
      </c>
      <c r="G62" s="27">
        <v>60.5</v>
      </c>
      <c r="H62" s="27">
        <v>160.5</v>
      </c>
      <c r="I62" s="27">
        <v>75.5</v>
      </c>
      <c r="J62" s="27">
        <v>10.5</v>
      </c>
      <c r="K62" s="27">
        <v>56.5</v>
      </c>
      <c r="L62" s="116">
        <f t="shared" si="0"/>
        <v>363.5</v>
      </c>
      <c r="M62" s="116">
        <v>300</v>
      </c>
      <c r="N62" s="116">
        <f t="shared" si="1"/>
        <v>63.5</v>
      </c>
    </row>
    <row r="63" ht="22.5" customHeight="1" spans="1:14">
      <c r="A63" s="113">
        <v>46084</v>
      </c>
      <c r="B63" s="114" t="s">
        <v>11</v>
      </c>
      <c r="C63" s="114">
        <v>3</v>
      </c>
      <c r="D63" s="114" t="s">
        <v>54</v>
      </c>
      <c r="E63" s="114">
        <v>10</v>
      </c>
      <c r="F63" s="114" t="s">
        <v>32</v>
      </c>
      <c r="G63" s="27">
        <v>45.5</v>
      </c>
      <c r="H63" s="27">
        <v>215.5</v>
      </c>
      <c r="I63" s="27">
        <v>80.5</v>
      </c>
      <c r="J63" s="27">
        <v>0</v>
      </c>
      <c r="K63" s="27">
        <v>78.5</v>
      </c>
      <c r="L63" s="116">
        <f t="shared" si="0"/>
        <v>420</v>
      </c>
      <c r="M63" s="116">
        <v>300</v>
      </c>
      <c r="N63" s="116">
        <f t="shared" si="1"/>
        <v>120</v>
      </c>
    </row>
    <row r="64" ht="22.5" customHeight="1" spans="1:14">
      <c r="A64" s="113">
        <v>46085</v>
      </c>
      <c r="B64" s="114" t="s">
        <v>11</v>
      </c>
      <c r="C64" s="114">
        <v>3</v>
      </c>
      <c r="D64" s="114" t="s">
        <v>54</v>
      </c>
      <c r="E64" s="114">
        <v>10</v>
      </c>
      <c r="F64" s="114" t="s">
        <v>33</v>
      </c>
      <c r="G64" s="27">
        <v>95.5</v>
      </c>
      <c r="H64" s="27">
        <v>245.5</v>
      </c>
      <c r="I64" s="27">
        <v>95.5</v>
      </c>
      <c r="J64" s="27">
        <v>10.5</v>
      </c>
      <c r="K64" s="27">
        <v>80.5</v>
      </c>
      <c r="L64" s="116">
        <f t="shared" si="0"/>
        <v>527.5</v>
      </c>
      <c r="M64" s="116">
        <v>300</v>
      </c>
      <c r="N64" s="116">
        <f t="shared" si="1"/>
        <v>227.5</v>
      </c>
    </row>
    <row r="65" ht="22.5" customHeight="1" spans="1:14">
      <c r="A65" s="113">
        <v>46086</v>
      </c>
      <c r="B65" s="114" t="s">
        <v>11</v>
      </c>
      <c r="C65" s="114">
        <v>3</v>
      </c>
      <c r="D65" s="114" t="s">
        <v>54</v>
      </c>
      <c r="E65" s="114">
        <v>10</v>
      </c>
      <c r="F65" s="114" t="s">
        <v>34</v>
      </c>
      <c r="G65" s="27">
        <v>50.5</v>
      </c>
      <c r="H65" s="27">
        <v>0</v>
      </c>
      <c r="I65" s="27">
        <v>105.5</v>
      </c>
      <c r="J65" s="27">
        <v>0</v>
      </c>
      <c r="K65" s="27">
        <v>37.5</v>
      </c>
      <c r="L65" s="116">
        <f t="shared" si="0"/>
        <v>193.5</v>
      </c>
      <c r="M65" s="116">
        <v>300</v>
      </c>
      <c r="N65" s="116">
        <f t="shared" si="1"/>
        <v>-106.5</v>
      </c>
    </row>
    <row r="66" ht="22.5" customHeight="1" spans="1:14">
      <c r="A66" s="113">
        <v>46087</v>
      </c>
      <c r="B66" s="114" t="s">
        <v>11</v>
      </c>
      <c r="C66" s="114">
        <v>3</v>
      </c>
      <c r="D66" s="114" t="s">
        <v>54</v>
      </c>
      <c r="E66" s="114">
        <v>10</v>
      </c>
      <c r="F66" s="114" t="s">
        <v>35</v>
      </c>
      <c r="G66" s="119">
        <v>130.5</v>
      </c>
      <c r="H66" s="120">
        <v>215.5</v>
      </c>
      <c r="I66" s="120">
        <v>170.5</v>
      </c>
      <c r="J66" s="120">
        <v>0</v>
      </c>
      <c r="K66" s="120">
        <v>50.5</v>
      </c>
      <c r="L66" s="116">
        <f t="shared" si="0"/>
        <v>567</v>
      </c>
      <c r="M66" s="116">
        <v>300</v>
      </c>
      <c r="N66" s="116">
        <f t="shared" si="1"/>
        <v>267</v>
      </c>
    </row>
    <row r="67" ht="22.5" customHeight="1" spans="1:14">
      <c r="A67" s="113">
        <v>46088</v>
      </c>
      <c r="B67" s="114" t="s">
        <v>11</v>
      </c>
      <c r="C67" s="114">
        <v>3</v>
      </c>
      <c r="D67" s="114" t="s">
        <v>54</v>
      </c>
      <c r="E67" s="114">
        <v>10</v>
      </c>
      <c r="F67" s="114" t="s">
        <v>36</v>
      </c>
      <c r="G67" s="115">
        <v>0</v>
      </c>
      <c r="H67" s="115">
        <v>0</v>
      </c>
      <c r="I67" s="115">
        <v>0</v>
      </c>
      <c r="J67" s="115">
        <v>0</v>
      </c>
      <c r="K67" s="115">
        <v>0</v>
      </c>
      <c r="L67" s="116">
        <f t="shared" ref="L67:L130" si="2">SUM(G67:K67)</f>
        <v>0</v>
      </c>
      <c r="M67" s="116">
        <v>300</v>
      </c>
      <c r="N67" s="116">
        <f t="shared" ref="N67:N130" si="3">IF(L67=0,0,L67-M67)</f>
        <v>0</v>
      </c>
    </row>
    <row r="68" ht="22.5" customHeight="1" spans="1:14">
      <c r="A68" s="113">
        <v>46089</v>
      </c>
      <c r="B68" s="114" t="s">
        <v>11</v>
      </c>
      <c r="C68" s="114">
        <v>3</v>
      </c>
      <c r="D68" s="114" t="s">
        <v>54</v>
      </c>
      <c r="E68" s="114">
        <v>11</v>
      </c>
      <c r="F68" s="114" t="s">
        <v>30</v>
      </c>
      <c r="G68" s="115">
        <v>0</v>
      </c>
      <c r="H68" s="115">
        <v>0</v>
      </c>
      <c r="I68" s="115">
        <v>0</v>
      </c>
      <c r="J68" s="115">
        <v>0</v>
      </c>
      <c r="K68" s="115">
        <v>0</v>
      </c>
      <c r="L68" s="116">
        <f t="shared" si="2"/>
        <v>0</v>
      </c>
      <c r="M68" s="116">
        <v>300</v>
      </c>
      <c r="N68" s="116">
        <f t="shared" si="3"/>
        <v>0</v>
      </c>
    </row>
    <row r="69" ht="22.5" customHeight="1" spans="1:14">
      <c r="A69" s="113">
        <v>46090</v>
      </c>
      <c r="B69" s="114" t="s">
        <v>11</v>
      </c>
      <c r="C69" s="114">
        <v>3</v>
      </c>
      <c r="D69" s="114" t="s">
        <v>54</v>
      </c>
      <c r="E69" s="114">
        <v>11</v>
      </c>
      <c r="F69" s="114" t="s">
        <v>31</v>
      </c>
      <c r="G69" s="27">
        <v>34.5</v>
      </c>
      <c r="H69" s="27">
        <v>190.5</v>
      </c>
      <c r="I69" s="27">
        <v>0</v>
      </c>
      <c r="J69" s="27">
        <v>0</v>
      </c>
      <c r="K69" s="27">
        <v>35.5</v>
      </c>
      <c r="L69" s="116">
        <f t="shared" si="2"/>
        <v>260.5</v>
      </c>
      <c r="M69" s="116">
        <v>300</v>
      </c>
      <c r="N69" s="116">
        <f t="shared" si="3"/>
        <v>-39.5</v>
      </c>
    </row>
    <row r="70" ht="22.5" customHeight="1" spans="1:14">
      <c r="A70" s="113">
        <v>46091</v>
      </c>
      <c r="B70" s="114" t="s">
        <v>11</v>
      </c>
      <c r="C70" s="114">
        <v>3</v>
      </c>
      <c r="D70" s="114" t="s">
        <v>54</v>
      </c>
      <c r="E70" s="114">
        <v>11</v>
      </c>
      <c r="F70" s="114" t="s">
        <v>32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116">
        <f t="shared" si="2"/>
        <v>0</v>
      </c>
      <c r="M70" s="116">
        <v>300</v>
      </c>
      <c r="N70" s="116">
        <f t="shared" si="3"/>
        <v>0</v>
      </c>
    </row>
    <row r="71" ht="22.5" customHeight="1" spans="1:14">
      <c r="A71" s="113">
        <v>46092</v>
      </c>
      <c r="B71" s="114" t="s">
        <v>11</v>
      </c>
      <c r="C71" s="114">
        <v>3</v>
      </c>
      <c r="D71" s="114" t="s">
        <v>54</v>
      </c>
      <c r="E71" s="114">
        <v>11</v>
      </c>
      <c r="F71" s="114" t="s">
        <v>33</v>
      </c>
      <c r="G71" s="27">
        <v>80.5</v>
      </c>
      <c r="H71" s="27">
        <v>165.5</v>
      </c>
      <c r="I71" s="27">
        <v>60.5</v>
      </c>
      <c r="J71" s="27">
        <v>15.5</v>
      </c>
      <c r="K71" s="27">
        <v>0</v>
      </c>
      <c r="L71" s="116">
        <f t="shared" si="2"/>
        <v>322</v>
      </c>
      <c r="M71" s="116">
        <v>300</v>
      </c>
      <c r="N71" s="116">
        <f t="shared" si="3"/>
        <v>22</v>
      </c>
    </row>
    <row r="72" ht="22.5" customHeight="1" spans="1:14">
      <c r="A72" s="113">
        <v>46093</v>
      </c>
      <c r="B72" s="114" t="s">
        <v>11</v>
      </c>
      <c r="C72" s="114">
        <v>3</v>
      </c>
      <c r="D72" s="114" t="s">
        <v>54</v>
      </c>
      <c r="E72" s="114">
        <v>11</v>
      </c>
      <c r="F72" s="114" t="s">
        <v>34</v>
      </c>
      <c r="G72" s="27">
        <v>60.5</v>
      </c>
      <c r="H72" s="27">
        <v>175.5</v>
      </c>
      <c r="I72" s="27">
        <v>75.5</v>
      </c>
      <c r="J72" s="27">
        <v>15.5</v>
      </c>
      <c r="K72" s="27">
        <v>80.5</v>
      </c>
      <c r="L72" s="116">
        <f t="shared" si="2"/>
        <v>407.5</v>
      </c>
      <c r="M72" s="116">
        <v>300</v>
      </c>
      <c r="N72" s="116">
        <f t="shared" si="3"/>
        <v>107.5</v>
      </c>
    </row>
    <row r="73" ht="22.5" customHeight="1" spans="1:14">
      <c r="A73" s="113">
        <v>46094</v>
      </c>
      <c r="B73" s="114" t="s">
        <v>11</v>
      </c>
      <c r="C73" s="114">
        <v>3</v>
      </c>
      <c r="D73" s="114" t="s">
        <v>54</v>
      </c>
      <c r="E73" s="114">
        <v>11</v>
      </c>
      <c r="F73" s="114" t="s">
        <v>35</v>
      </c>
      <c r="G73" s="27">
        <v>100.5</v>
      </c>
      <c r="H73" s="27">
        <v>190.5</v>
      </c>
      <c r="I73" s="27">
        <v>100.5</v>
      </c>
      <c r="J73" s="27">
        <v>10.5</v>
      </c>
      <c r="K73" s="27">
        <v>0</v>
      </c>
      <c r="L73" s="116">
        <f t="shared" si="2"/>
        <v>402</v>
      </c>
      <c r="M73" s="116">
        <v>300</v>
      </c>
      <c r="N73" s="116">
        <f t="shared" si="3"/>
        <v>102</v>
      </c>
    </row>
    <row r="74" ht="22.5" customHeight="1" spans="1:14">
      <c r="A74" s="113">
        <v>46095</v>
      </c>
      <c r="B74" s="114" t="s">
        <v>11</v>
      </c>
      <c r="C74" s="114">
        <v>3</v>
      </c>
      <c r="D74" s="114" t="s">
        <v>54</v>
      </c>
      <c r="E74" s="114">
        <v>11</v>
      </c>
      <c r="F74" s="114" t="s">
        <v>36</v>
      </c>
      <c r="G74" s="115">
        <v>0</v>
      </c>
      <c r="H74" s="115">
        <v>0</v>
      </c>
      <c r="I74" s="115">
        <v>0</v>
      </c>
      <c r="J74" s="115">
        <v>0</v>
      </c>
      <c r="K74" s="115">
        <v>0</v>
      </c>
      <c r="L74" s="116">
        <f t="shared" si="2"/>
        <v>0</v>
      </c>
      <c r="M74" s="116">
        <v>300</v>
      </c>
      <c r="N74" s="116">
        <f t="shared" si="3"/>
        <v>0</v>
      </c>
    </row>
    <row r="75" ht="22.5" customHeight="1" spans="1:14">
      <c r="A75" s="113">
        <v>46096</v>
      </c>
      <c r="B75" s="114" t="s">
        <v>11</v>
      </c>
      <c r="C75" s="114">
        <v>3</v>
      </c>
      <c r="D75" s="114" t="s">
        <v>54</v>
      </c>
      <c r="E75" s="114">
        <v>12</v>
      </c>
      <c r="F75" s="114" t="s">
        <v>30</v>
      </c>
      <c r="G75" s="115">
        <v>0</v>
      </c>
      <c r="H75" s="115">
        <v>0</v>
      </c>
      <c r="I75" s="115">
        <v>0</v>
      </c>
      <c r="J75" s="115">
        <v>0</v>
      </c>
      <c r="K75" s="115">
        <v>0</v>
      </c>
      <c r="L75" s="116">
        <f t="shared" si="2"/>
        <v>0</v>
      </c>
      <c r="M75" s="116">
        <v>300</v>
      </c>
      <c r="N75" s="116">
        <f t="shared" si="3"/>
        <v>0</v>
      </c>
    </row>
    <row r="76" ht="22.5" customHeight="1" spans="1:14">
      <c r="A76" s="113">
        <v>46097</v>
      </c>
      <c r="B76" s="114" t="s">
        <v>11</v>
      </c>
      <c r="C76" s="114">
        <v>3</v>
      </c>
      <c r="D76" s="114" t="s">
        <v>54</v>
      </c>
      <c r="E76" s="114">
        <v>12</v>
      </c>
      <c r="F76" s="114" t="s">
        <v>31</v>
      </c>
      <c r="G76" s="27">
        <v>85.5</v>
      </c>
      <c r="H76" s="27">
        <v>180.5</v>
      </c>
      <c r="I76" s="27">
        <v>110.5</v>
      </c>
      <c r="J76" s="27">
        <v>25.5</v>
      </c>
      <c r="K76" s="27">
        <v>50.5</v>
      </c>
      <c r="L76" s="116">
        <f t="shared" si="2"/>
        <v>452.5</v>
      </c>
      <c r="M76" s="116">
        <v>300</v>
      </c>
      <c r="N76" s="116">
        <f t="shared" si="3"/>
        <v>152.5</v>
      </c>
    </row>
    <row r="77" ht="22.5" customHeight="1" spans="1:14">
      <c r="A77" s="113">
        <v>46098</v>
      </c>
      <c r="B77" s="114" t="s">
        <v>11</v>
      </c>
      <c r="C77" s="114">
        <v>3</v>
      </c>
      <c r="D77" s="114" t="s">
        <v>54</v>
      </c>
      <c r="E77" s="114">
        <v>12</v>
      </c>
      <c r="F77" s="114" t="s">
        <v>32</v>
      </c>
      <c r="G77" s="27">
        <v>45.5</v>
      </c>
      <c r="H77" s="27">
        <v>135.5</v>
      </c>
      <c r="I77" s="27">
        <v>85.5</v>
      </c>
      <c r="J77" s="27">
        <v>20.5</v>
      </c>
      <c r="K77" s="27">
        <v>80.5</v>
      </c>
      <c r="L77" s="116">
        <f t="shared" si="2"/>
        <v>367.5</v>
      </c>
      <c r="M77" s="116">
        <v>300</v>
      </c>
      <c r="N77" s="116">
        <f t="shared" si="3"/>
        <v>67.5</v>
      </c>
    </row>
    <row r="78" ht="22.5" customHeight="1" spans="1:14">
      <c r="A78" s="113">
        <v>46099</v>
      </c>
      <c r="B78" s="114" t="s">
        <v>11</v>
      </c>
      <c r="C78" s="114">
        <v>3</v>
      </c>
      <c r="D78" s="114" t="s">
        <v>54</v>
      </c>
      <c r="E78" s="114">
        <v>12</v>
      </c>
      <c r="F78" s="114" t="s">
        <v>33</v>
      </c>
      <c r="G78" s="27">
        <v>70.5</v>
      </c>
      <c r="H78" s="27">
        <v>165.5</v>
      </c>
      <c r="I78" s="27">
        <v>60.5</v>
      </c>
      <c r="J78" s="27">
        <v>0</v>
      </c>
      <c r="K78" s="27">
        <v>80.5</v>
      </c>
      <c r="L78" s="116">
        <f t="shared" si="2"/>
        <v>377</v>
      </c>
      <c r="M78" s="116">
        <v>300</v>
      </c>
      <c r="N78" s="116">
        <f t="shared" si="3"/>
        <v>77</v>
      </c>
    </row>
    <row r="79" ht="22.5" customHeight="1" spans="1:14">
      <c r="A79" s="113">
        <v>46100</v>
      </c>
      <c r="B79" s="114" t="s">
        <v>11</v>
      </c>
      <c r="C79" s="114">
        <v>3</v>
      </c>
      <c r="D79" s="114" t="s">
        <v>54</v>
      </c>
      <c r="E79" s="114">
        <v>12</v>
      </c>
      <c r="F79" s="114" t="s">
        <v>34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116">
        <f t="shared" si="2"/>
        <v>0</v>
      </c>
      <c r="M79" s="116">
        <v>300</v>
      </c>
      <c r="N79" s="116">
        <f t="shared" si="3"/>
        <v>0</v>
      </c>
    </row>
    <row r="80" ht="22.5" customHeight="1" spans="1:14">
      <c r="A80" s="113">
        <v>46101</v>
      </c>
      <c r="B80" s="114" t="s">
        <v>11</v>
      </c>
      <c r="C80" s="114">
        <v>3</v>
      </c>
      <c r="D80" s="114" t="s">
        <v>54</v>
      </c>
      <c r="E80" s="114">
        <v>12</v>
      </c>
      <c r="F80" s="114" t="s">
        <v>35</v>
      </c>
      <c r="G80" s="27">
        <v>95.5</v>
      </c>
      <c r="H80" s="27">
        <v>190.5</v>
      </c>
      <c r="I80" s="27">
        <v>110.5</v>
      </c>
      <c r="J80" s="27">
        <v>10.5</v>
      </c>
      <c r="K80" s="27">
        <v>80.5</v>
      </c>
      <c r="L80" s="116">
        <f t="shared" si="2"/>
        <v>487.5</v>
      </c>
      <c r="M80" s="116">
        <v>300</v>
      </c>
      <c r="N80" s="116">
        <f t="shared" si="3"/>
        <v>187.5</v>
      </c>
    </row>
    <row r="81" ht="22.5" customHeight="1" spans="1:14">
      <c r="A81" s="113">
        <v>46102</v>
      </c>
      <c r="B81" s="114" t="s">
        <v>11</v>
      </c>
      <c r="C81" s="114">
        <v>3</v>
      </c>
      <c r="D81" s="114" t="s">
        <v>54</v>
      </c>
      <c r="E81" s="114">
        <v>12</v>
      </c>
      <c r="F81" s="114" t="s">
        <v>36</v>
      </c>
      <c r="G81" s="115">
        <v>0</v>
      </c>
      <c r="H81" s="115">
        <v>0</v>
      </c>
      <c r="I81" s="115">
        <v>0</v>
      </c>
      <c r="J81" s="115">
        <v>0</v>
      </c>
      <c r="K81" s="115">
        <v>0</v>
      </c>
      <c r="L81" s="116">
        <f t="shared" si="2"/>
        <v>0</v>
      </c>
      <c r="M81" s="116">
        <v>300</v>
      </c>
      <c r="N81" s="116">
        <f t="shared" si="3"/>
        <v>0</v>
      </c>
    </row>
    <row r="82" ht="22.5" customHeight="1" spans="1:14">
      <c r="A82" s="113">
        <v>46103</v>
      </c>
      <c r="B82" s="114" t="s">
        <v>11</v>
      </c>
      <c r="C82" s="114">
        <v>3</v>
      </c>
      <c r="D82" s="114" t="s">
        <v>54</v>
      </c>
      <c r="E82" s="114">
        <v>13</v>
      </c>
      <c r="F82" s="114" t="s">
        <v>30</v>
      </c>
      <c r="G82" s="115">
        <v>0</v>
      </c>
      <c r="H82" s="115">
        <v>0</v>
      </c>
      <c r="I82" s="115">
        <v>0</v>
      </c>
      <c r="J82" s="115">
        <v>0</v>
      </c>
      <c r="K82" s="115">
        <v>0</v>
      </c>
      <c r="L82" s="116">
        <f t="shared" si="2"/>
        <v>0</v>
      </c>
      <c r="M82" s="116">
        <v>300</v>
      </c>
      <c r="N82" s="116">
        <f t="shared" si="3"/>
        <v>0</v>
      </c>
    </row>
    <row r="83" ht="22.5" customHeight="1" spans="1:14">
      <c r="A83" s="113">
        <v>46104</v>
      </c>
      <c r="B83" s="114" t="s">
        <v>11</v>
      </c>
      <c r="C83" s="114">
        <v>3</v>
      </c>
      <c r="D83" s="114" t="s">
        <v>54</v>
      </c>
      <c r="E83" s="114">
        <v>13</v>
      </c>
      <c r="F83" s="114" t="s">
        <v>31</v>
      </c>
      <c r="G83" s="120">
        <v>45.5</v>
      </c>
      <c r="H83" s="120">
        <v>170.5</v>
      </c>
      <c r="I83" s="120">
        <v>100.5</v>
      </c>
      <c r="J83" s="120">
        <v>0</v>
      </c>
      <c r="K83" s="120">
        <v>40.5</v>
      </c>
      <c r="L83" s="116">
        <f t="shared" si="2"/>
        <v>357</v>
      </c>
      <c r="M83" s="116">
        <v>300</v>
      </c>
      <c r="N83" s="116">
        <f t="shared" si="3"/>
        <v>57</v>
      </c>
    </row>
    <row r="84" ht="22.5" customHeight="1" spans="1:14">
      <c r="A84" s="113">
        <v>46105</v>
      </c>
      <c r="B84" s="114" t="s">
        <v>11</v>
      </c>
      <c r="C84" s="114">
        <v>3</v>
      </c>
      <c r="D84" s="114" t="s">
        <v>54</v>
      </c>
      <c r="E84" s="114">
        <v>13</v>
      </c>
      <c r="F84" s="114" t="s">
        <v>32</v>
      </c>
      <c r="G84" s="120">
        <v>50.5</v>
      </c>
      <c r="H84" s="120">
        <v>135.5</v>
      </c>
      <c r="I84" s="120">
        <v>50.5</v>
      </c>
      <c r="J84" s="120">
        <v>20.5</v>
      </c>
      <c r="K84" s="120">
        <v>0</v>
      </c>
      <c r="L84" s="116">
        <f t="shared" si="2"/>
        <v>257</v>
      </c>
      <c r="M84" s="116">
        <v>300</v>
      </c>
      <c r="N84" s="116">
        <f t="shared" si="3"/>
        <v>-43</v>
      </c>
    </row>
    <row r="85" ht="22.5" customHeight="1" spans="1:14">
      <c r="A85" s="113">
        <v>46106</v>
      </c>
      <c r="B85" s="114" t="s">
        <v>11</v>
      </c>
      <c r="C85" s="114">
        <v>3</v>
      </c>
      <c r="D85" s="114" t="s">
        <v>54</v>
      </c>
      <c r="E85" s="114">
        <v>13</v>
      </c>
      <c r="F85" s="114" t="s">
        <v>33</v>
      </c>
      <c r="G85" s="120">
        <v>65.5</v>
      </c>
      <c r="H85" s="120">
        <v>155.5</v>
      </c>
      <c r="I85" s="120">
        <v>60.5</v>
      </c>
      <c r="J85" s="120">
        <v>0</v>
      </c>
      <c r="K85" s="120">
        <v>0</v>
      </c>
      <c r="L85" s="116">
        <f t="shared" si="2"/>
        <v>281.5</v>
      </c>
      <c r="M85" s="116">
        <v>300</v>
      </c>
      <c r="N85" s="116">
        <f t="shared" si="3"/>
        <v>-18.5</v>
      </c>
    </row>
    <row r="86" ht="22.5" customHeight="1" spans="1:14">
      <c r="A86" s="113">
        <v>46107</v>
      </c>
      <c r="B86" s="114" t="s">
        <v>11</v>
      </c>
      <c r="C86" s="114">
        <v>3</v>
      </c>
      <c r="D86" s="114" t="s">
        <v>54</v>
      </c>
      <c r="E86" s="114">
        <v>13</v>
      </c>
      <c r="F86" s="114" t="s">
        <v>34</v>
      </c>
      <c r="G86" s="120">
        <v>34.5</v>
      </c>
      <c r="H86" s="120">
        <v>129.5</v>
      </c>
      <c r="I86" s="120">
        <v>0</v>
      </c>
      <c r="J86" s="120">
        <v>0</v>
      </c>
      <c r="K86" s="120">
        <v>56.5</v>
      </c>
      <c r="L86" s="116">
        <f t="shared" si="2"/>
        <v>220.5</v>
      </c>
      <c r="M86" s="116">
        <v>300</v>
      </c>
      <c r="N86" s="116">
        <f t="shared" si="3"/>
        <v>-79.5</v>
      </c>
    </row>
    <row r="87" ht="22.5" customHeight="1" spans="1:14">
      <c r="A87" s="113">
        <v>46108</v>
      </c>
      <c r="B87" s="114" t="s">
        <v>11</v>
      </c>
      <c r="C87" s="114">
        <v>3</v>
      </c>
      <c r="D87" s="114" t="s">
        <v>54</v>
      </c>
      <c r="E87" s="114">
        <v>13</v>
      </c>
      <c r="F87" s="114" t="s">
        <v>35</v>
      </c>
      <c r="G87" s="120">
        <v>50.5</v>
      </c>
      <c r="H87" s="120">
        <v>210.5</v>
      </c>
      <c r="I87" s="120">
        <v>100.5</v>
      </c>
      <c r="J87" s="120">
        <v>30.5</v>
      </c>
      <c r="K87" s="120">
        <v>40.5</v>
      </c>
      <c r="L87" s="116">
        <f t="shared" si="2"/>
        <v>432.5</v>
      </c>
      <c r="M87" s="116">
        <v>300</v>
      </c>
      <c r="N87" s="116">
        <f t="shared" si="3"/>
        <v>132.5</v>
      </c>
    </row>
    <row r="88" ht="22.5" customHeight="1" spans="1:14">
      <c r="A88" s="113">
        <v>46109</v>
      </c>
      <c r="B88" s="114" t="s">
        <v>11</v>
      </c>
      <c r="C88" s="114">
        <v>3</v>
      </c>
      <c r="D88" s="114" t="s">
        <v>54</v>
      </c>
      <c r="E88" s="114">
        <v>13</v>
      </c>
      <c r="F88" s="114" t="s">
        <v>36</v>
      </c>
      <c r="G88" s="115">
        <v>0</v>
      </c>
      <c r="H88" s="115">
        <v>0</v>
      </c>
      <c r="I88" s="115">
        <v>0</v>
      </c>
      <c r="J88" s="115">
        <v>0</v>
      </c>
      <c r="K88" s="115">
        <v>0</v>
      </c>
      <c r="L88" s="116">
        <f t="shared" si="2"/>
        <v>0</v>
      </c>
      <c r="M88" s="116">
        <v>300</v>
      </c>
      <c r="N88" s="116">
        <f t="shared" si="3"/>
        <v>0</v>
      </c>
    </row>
    <row r="89" ht="22.5" customHeight="1" spans="1:14">
      <c r="A89" s="113">
        <v>46110</v>
      </c>
      <c r="B89" s="114" t="s">
        <v>11</v>
      </c>
      <c r="C89" s="114">
        <v>3</v>
      </c>
      <c r="D89" s="114" t="s">
        <v>54</v>
      </c>
      <c r="E89" s="114">
        <v>14</v>
      </c>
      <c r="F89" s="114" t="s">
        <v>30</v>
      </c>
      <c r="G89" s="115">
        <v>0</v>
      </c>
      <c r="H89" s="115">
        <v>0</v>
      </c>
      <c r="I89" s="115">
        <v>0</v>
      </c>
      <c r="J89" s="115">
        <v>0</v>
      </c>
      <c r="K89" s="115">
        <v>0</v>
      </c>
      <c r="L89" s="116">
        <f t="shared" si="2"/>
        <v>0</v>
      </c>
      <c r="M89" s="116">
        <v>300</v>
      </c>
      <c r="N89" s="116">
        <f t="shared" si="3"/>
        <v>0</v>
      </c>
    </row>
    <row r="90" ht="22.5" customHeight="1" spans="1:14">
      <c r="A90" s="113">
        <v>46111</v>
      </c>
      <c r="B90" s="114" t="s">
        <v>11</v>
      </c>
      <c r="C90" s="114">
        <v>3</v>
      </c>
      <c r="D90" s="114" t="s">
        <v>54</v>
      </c>
      <c r="E90" s="114">
        <v>14</v>
      </c>
      <c r="F90" s="114" t="s">
        <v>31</v>
      </c>
      <c r="G90" s="120">
        <v>60.5</v>
      </c>
      <c r="H90" s="120">
        <v>35.5</v>
      </c>
      <c r="I90" s="120">
        <v>90.5</v>
      </c>
      <c r="J90" s="120">
        <v>0</v>
      </c>
      <c r="K90" s="120">
        <v>190.5</v>
      </c>
      <c r="L90" s="116">
        <f t="shared" si="2"/>
        <v>377</v>
      </c>
      <c r="M90" s="116">
        <v>300</v>
      </c>
      <c r="N90" s="116">
        <f t="shared" si="3"/>
        <v>77</v>
      </c>
    </row>
    <row r="91" ht="22.5" customHeight="1" spans="1:14">
      <c r="A91" s="113">
        <v>46112</v>
      </c>
      <c r="B91" s="114" t="s">
        <v>11</v>
      </c>
      <c r="C91" s="114">
        <v>3</v>
      </c>
      <c r="D91" s="114" t="s">
        <v>54</v>
      </c>
      <c r="E91" s="114">
        <v>14</v>
      </c>
      <c r="F91" s="114" t="s">
        <v>32</v>
      </c>
      <c r="G91" s="120">
        <v>0</v>
      </c>
      <c r="H91" s="120">
        <v>155.5</v>
      </c>
      <c r="I91" s="120">
        <v>110.5</v>
      </c>
      <c r="J91" s="120">
        <v>25.5</v>
      </c>
      <c r="K91" s="120">
        <v>100.5</v>
      </c>
      <c r="L91" s="116">
        <f t="shared" si="2"/>
        <v>392</v>
      </c>
      <c r="M91" s="116">
        <v>300</v>
      </c>
      <c r="N91" s="116">
        <f t="shared" si="3"/>
        <v>92</v>
      </c>
    </row>
    <row r="92" ht="22.5" customHeight="1" spans="1:14">
      <c r="A92" s="113">
        <v>46113</v>
      </c>
      <c r="B92" s="114" t="s">
        <v>12</v>
      </c>
      <c r="C92" s="114">
        <v>4</v>
      </c>
      <c r="D92" s="114" t="s">
        <v>55</v>
      </c>
      <c r="E92" s="114">
        <v>14</v>
      </c>
      <c r="F92" s="114" t="s">
        <v>33</v>
      </c>
      <c r="G92" s="120">
        <v>0</v>
      </c>
      <c r="H92" s="120">
        <v>160.5</v>
      </c>
      <c r="I92" s="120">
        <v>80.5</v>
      </c>
      <c r="J92" s="120">
        <v>0</v>
      </c>
      <c r="K92" s="120">
        <v>0</v>
      </c>
      <c r="L92" s="116">
        <f t="shared" si="2"/>
        <v>241</v>
      </c>
      <c r="M92" s="116">
        <v>300</v>
      </c>
      <c r="N92" s="116">
        <f t="shared" si="3"/>
        <v>-59</v>
      </c>
    </row>
    <row r="93" ht="22.5" customHeight="1" spans="1:14">
      <c r="A93" s="113">
        <v>46114</v>
      </c>
      <c r="B93" s="114" t="s">
        <v>12</v>
      </c>
      <c r="C93" s="114">
        <v>4</v>
      </c>
      <c r="D93" s="114" t="s">
        <v>55</v>
      </c>
      <c r="E93" s="114">
        <v>14</v>
      </c>
      <c r="F93" s="114" t="s">
        <v>34</v>
      </c>
      <c r="G93" s="120">
        <v>0</v>
      </c>
      <c r="H93" s="120">
        <v>0</v>
      </c>
      <c r="I93" s="120">
        <v>0</v>
      </c>
      <c r="J93" s="120">
        <v>0</v>
      </c>
      <c r="K93" s="120">
        <v>0</v>
      </c>
      <c r="L93" s="116">
        <f t="shared" si="2"/>
        <v>0</v>
      </c>
      <c r="M93" s="116">
        <v>300</v>
      </c>
      <c r="N93" s="116">
        <f t="shared" si="3"/>
        <v>0</v>
      </c>
    </row>
    <row r="94" ht="22.5" customHeight="1" spans="1:14">
      <c r="A94" s="113">
        <v>46115</v>
      </c>
      <c r="B94" s="114" t="s">
        <v>12</v>
      </c>
      <c r="C94" s="114">
        <v>4</v>
      </c>
      <c r="D94" s="114" t="s">
        <v>55</v>
      </c>
      <c r="E94" s="114">
        <v>14</v>
      </c>
      <c r="F94" s="114" t="s">
        <v>35</v>
      </c>
      <c r="G94" s="121">
        <v>90.5</v>
      </c>
      <c r="H94" s="121">
        <v>230.5</v>
      </c>
      <c r="I94" s="121">
        <v>0</v>
      </c>
      <c r="J94" s="121">
        <v>0</v>
      </c>
      <c r="K94" s="121">
        <v>80.5</v>
      </c>
      <c r="L94" s="116">
        <f t="shared" si="2"/>
        <v>401.5</v>
      </c>
      <c r="M94" s="116">
        <v>300</v>
      </c>
      <c r="N94" s="116">
        <f t="shared" si="3"/>
        <v>101.5</v>
      </c>
    </row>
    <row r="95" ht="22.5" customHeight="1" spans="1:14">
      <c r="A95" s="113">
        <v>46116</v>
      </c>
      <c r="B95" s="114" t="s">
        <v>12</v>
      </c>
      <c r="C95" s="114">
        <v>4</v>
      </c>
      <c r="D95" s="114" t="s">
        <v>55</v>
      </c>
      <c r="E95" s="114">
        <v>14</v>
      </c>
      <c r="F95" s="114" t="s">
        <v>36</v>
      </c>
      <c r="G95" s="115">
        <v>0</v>
      </c>
      <c r="H95" s="115">
        <v>0</v>
      </c>
      <c r="I95" s="115">
        <v>0</v>
      </c>
      <c r="J95" s="115">
        <v>0</v>
      </c>
      <c r="K95" s="115">
        <v>0</v>
      </c>
      <c r="L95" s="116">
        <f t="shared" si="2"/>
        <v>0</v>
      </c>
      <c r="M95" s="116">
        <v>300</v>
      </c>
      <c r="N95" s="116">
        <f t="shared" si="3"/>
        <v>0</v>
      </c>
    </row>
    <row r="96" ht="22.5" customHeight="1" spans="1:14">
      <c r="A96" s="113">
        <v>46117</v>
      </c>
      <c r="B96" s="114" t="s">
        <v>12</v>
      </c>
      <c r="C96" s="114">
        <v>4</v>
      </c>
      <c r="D96" s="114" t="s">
        <v>55</v>
      </c>
      <c r="E96" s="114">
        <v>15</v>
      </c>
      <c r="F96" s="114" t="s">
        <v>30</v>
      </c>
      <c r="G96" s="115">
        <v>0</v>
      </c>
      <c r="H96" s="115">
        <v>0</v>
      </c>
      <c r="I96" s="115">
        <v>0</v>
      </c>
      <c r="J96" s="115">
        <v>0</v>
      </c>
      <c r="K96" s="115">
        <v>0</v>
      </c>
      <c r="L96" s="116">
        <f t="shared" si="2"/>
        <v>0</v>
      </c>
      <c r="M96" s="116">
        <v>300</v>
      </c>
      <c r="N96" s="116">
        <f t="shared" si="3"/>
        <v>0</v>
      </c>
    </row>
    <row r="97" ht="22.5" customHeight="1" spans="1:14">
      <c r="A97" s="113">
        <v>46118</v>
      </c>
      <c r="B97" s="114" t="s">
        <v>12</v>
      </c>
      <c r="C97" s="114">
        <v>4</v>
      </c>
      <c r="D97" s="114" t="s">
        <v>55</v>
      </c>
      <c r="E97" s="114">
        <v>15</v>
      </c>
      <c r="F97" s="114" t="s">
        <v>31</v>
      </c>
      <c r="G97" s="121">
        <v>70.5</v>
      </c>
      <c r="H97" s="121">
        <v>190.5</v>
      </c>
      <c r="I97" s="121">
        <v>60.5</v>
      </c>
      <c r="J97" s="121">
        <v>20.5</v>
      </c>
      <c r="K97" s="121">
        <v>100.5</v>
      </c>
      <c r="L97" s="116">
        <f t="shared" si="2"/>
        <v>442.5</v>
      </c>
      <c r="M97" s="116">
        <v>300</v>
      </c>
      <c r="N97" s="116">
        <f t="shared" si="3"/>
        <v>142.5</v>
      </c>
    </row>
    <row r="98" ht="22.5" customHeight="1" spans="1:14">
      <c r="A98" s="113">
        <v>46119</v>
      </c>
      <c r="B98" s="114" t="s">
        <v>12</v>
      </c>
      <c r="C98" s="114">
        <v>4</v>
      </c>
      <c r="D98" s="114" t="s">
        <v>55</v>
      </c>
      <c r="E98" s="114">
        <v>15</v>
      </c>
      <c r="F98" s="114" t="s">
        <v>32</v>
      </c>
      <c r="G98" s="120">
        <v>65.5</v>
      </c>
      <c r="H98" s="120">
        <v>200.5</v>
      </c>
      <c r="I98" s="120">
        <v>120.5</v>
      </c>
      <c r="J98" s="120">
        <v>10.5</v>
      </c>
      <c r="K98" s="120">
        <v>80.5</v>
      </c>
      <c r="L98" s="116">
        <f t="shared" si="2"/>
        <v>477.5</v>
      </c>
      <c r="M98" s="116">
        <v>300</v>
      </c>
      <c r="N98" s="116">
        <f t="shared" si="3"/>
        <v>177.5</v>
      </c>
    </row>
    <row r="99" ht="22.5" customHeight="1" spans="1:14">
      <c r="A99" s="113">
        <v>46120</v>
      </c>
      <c r="B99" s="114" t="s">
        <v>12</v>
      </c>
      <c r="C99" s="114">
        <v>4</v>
      </c>
      <c r="D99" s="114" t="s">
        <v>55</v>
      </c>
      <c r="E99" s="114">
        <v>15</v>
      </c>
      <c r="F99" s="114" t="s">
        <v>33</v>
      </c>
      <c r="G99" s="120">
        <v>50.5</v>
      </c>
      <c r="H99" s="120">
        <v>200.5</v>
      </c>
      <c r="I99" s="120">
        <v>110.5</v>
      </c>
      <c r="J99" s="120">
        <v>30.5</v>
      </c>
      <c r="K99" s="120">
        <v>0</v>
      </c>
      <c r="L99" s="116">
        <f t="shared" si="2"/>
        <v>392</v>
      </c>
      <c r="M99" s="116">
        <v>300</v>
      </c>
      <c r="N99" s="116">
        <f t="shared" si="3"/>
        <v>92</v>
      </c>
    </row>
    <row r="100" ht="22.5" customHeight="1" spans="1:14">
      <c r="A100" s="113">
        <v>46121</v>
      </c>
      <c r="B100" s="114" t="s">
        <v>12</v>
      </c>
      <c r="C100" s="114">
        <v>4</v>
      </c>
      <c r="D100" s="114" t="s">
        <v>55</v>
      </c>
      <c r="E100" s="114">
        <v>15</v>
      </c>
      <c r="F100" s="114" t="s">
        <v>34</v>
      </c>
      <c r="G100" s="120">
        <v>0</v>
      </c>
      <c r="H100" s="120">
        <v>140.5</v>
      </c>
      <c r="I100" s="120">
        <v>90.5</v>
      </c>
      <c r="J100" s="120">
        <v>15.5</v>
      </c>
      <c r="K100" s="120">
        <v>0</v>
      </c>
      <c r="L100" s="116">
        <f t="shared" si="2"/>
        <v>246.5</v>
      </c>
      <c r="M100" s="116">
        <v>300</v>
      </c>
      <c r="N100" s="116">
        <f t="shared" si="3"/>
        <v>-53.5</v>
      </c>
    </row>
    <row r="101" ht="22.5" customHeight="1" spans="1:14">
      <c r="A101" s="113">
        <v>46122</v>
      </c>
      <c r="B101" s="114" t="s">
        <v>12</v>
      </c>
      <c r="C101" s="114">
        <v>4</v>
      </c>
      <c r="D101" s="114" t="s">
        <v>55</v>
      </c>
      <c r="E101" s="114">
        <v>15</v>
      </c>
      <c r="F101" s="114" t="s">
        <v>35</v>
      </c>
      <c r="G101" s="120">
        <v>75.5</v>
      </c>
      <c r="H101" s="120">
        <v>150.5</v>
      </c>
      <c r="I101" s="120">
        <v>125.5</v>
      </c>
      <c r="J101" s="120">
        <v>15.5</v>
      </c>
      <c r="K101" s="120">
        <v>50.5</v>
      </c>
      <c r="L101" s="116">
        <f t="shared" si="2"/>
        <v>417.5</v>
      </c>
      <c r="M101" s="116">
        <v>300</v>
      </c>
      <c r="N101" s="116">
        <f t="shared" si="3"/>
        <v>117.5</v>
      </c>
    </row>
    <row r="102" ht="22.5" customHeight="1" spans="1:14">
      <c r="A102" s="113">
        <v>46123</v>
      </c>
      <c r="B102" s="114" t="s">
        <v>12</v>
      </c>
      <c r="C102" s="114">
        <v>4</v>
      </c>
      <c r="D102" s="114" t="s">
        <v>55</v>
      </c>
      <c r="E102" s="114">
        <v>15</v>
      </c>
      <c r="F102" s="114" t="s">
        <v>36</v>
      </c>
      <c r="G102" s="115">
        <v>0</v>
      </c>
      <c r="H102" s="115">
        <v>0</v>
      </c>
      <c r="I102" s="115">
        <v>0</v>
      </c>
      <c r="J102" s="115">
        <v>0</v>
      </c>
      <c r="K102" s="115">
        <v>0</v>
      </c>
      <c r="L102" s="116">
        <f t="shared" si="2"/>
        <v>0</v>
      </c>
      <c r="M102" s="116">
        <v>300</v>
      </c>
      <c r="N102" s="116">
        <f t="shared" si="3"/>
        <v>0</v>
      </c>
    </row>
    <row r="103" ht="22.5" customHeight="1" spans="1:14">
      <c r="A103" s="113">
        <v>46124</v>
      </c>
      <c r="B103" s="114" t="s">
        <v>12</v>
      </c>
      <c r="C103" s="114">
        <v>4</v>
      </c>
      <c r="D103" s="114" t="s">
        <v>55</v>
      </c>
      <c r="E103" s="114">
        <v>16</v>
      </c>
      <c r="F103" s="114" t="s">
        <v>30</v>
      </c>
      <c r="G103" s="115">
        <v>0</v>
      </c>
      <c r="H103" s="115">
        <v>0</v>
      </c>
      <c r="I103" s="115">
        <v>0</v>
      </c>
      <c r="J103" s="115">
        <v>0</v>
      </c>
      <c r="K103" s="115">
        <v>0</v>
      </c>
      <c r="L103" s="116">
        <f t="shared" si="2"/>
        <v>0</v>
      </c>
      <c r="M103" s="116">
        <v>300</v>
      </c>
      <c r="N103" s="116">
        <f t="shared" si="3"/>
        <v>0</v>
      </c>
    </row>
    <row r="104" ht="22.5" customHeight="1" spans="1:14">
      <c r="A104" s="113">
        <v>46125</v>
      </c>
      <c r="B104" s="114" t="s">
        <v>12</v>
      </c>
      <c r="C104" s="114">
        <v>4</v>
      </c>
      <c r="D104" s="114" t="s">
        <v>55</v>
      </c>
      <c r="E104" s="114">
        <v>16</v>
      </c>
      <c r="F104" s="114" t="s">
        <v>31</v>
      </c>
      <c r="G104" s="120">
        <v>95.5</v>
      </c>
      <c r="H104" s="120">
        <v>155.5</v>
      </c>
      <c r="I104" s="120">
        <v>65.5</v>
      </c>
      <c r="J104" s="120">
        <v>0</v>
      </c>
      <c r="K104" s="120">
        <v>80.5</v>
      </c>
      <c r="L104" s="116">
        <f t="shared" si="2"/>
        <v>397</v>
      </c>
      <c r="M104" s="116">
        <v>300</v>
      </c>
      <c r="N104" s="116">
        <f t="shared" si="3"/>
        <v>97</v>
      </c>
    </row>
    <row r="105" ht="22.5" customHeight="1" spans="1:14">
      <c r="A105" s="113">
        <v>46126</v>
      </c>
      <c r="B105" s="114" t="s">
        <v>12</v>
      </c>
      <c r="C105" s="114">
        <v>4</v>
      </c>
      <c r="D105" s="114" t="s">
        <v>55</v>
      </c>
      <c r="E105" s="114">
        <v>16</v>
      </c>
      <c r="F105" s="114" t="s">
        <v>32</v>
      </c>
      <c r="G105" s="120">
        <v>65.5</v>
      </c>
      <c r="H105" s="120">
        <v>200.5</v>
      </c>
      <c r="I105" s="120">
        <v>100.5</v>
      </c>
      <c r="J105" s="120">
        <v>15.5</v>
      </c>
      <c r="K105" s="120">
        <v>65.5</v>
      </c>
      <c r="L105" s="116">
        <f t="shared" si="2"/>
        <v>447.5</v>
      </c>
      <c r="M105" s="116">
        <v>300</v>
      </c>
      <c r="N105" s="116">
        <f t="shared" si="3"/>
        <v>147.5</v>
      </c>
    </row>
    <row r="106" ht="22.5" customHeight="1" spans="1:14">
      <c r="A106" s="113">
        <v>46127</v>
      </c>
      <c r="B106" s="114" t="s">
        <v>12</v>
      </c>
      <c r="C106" s="114">
        <v>4</v>
      </c>
      <c r="D106" s="114" t="s">
        <v>55</v>
      </c>
      <c r="E106" s="114">
        <v>16</v>
      </c>
      <c r="F106" s="114" t="s">
        <v>33</v>
      </c>
      <c r="G106" s="120">
        <v>0</v>
      </c>
      <c r="H106" s="120">
        <v>0</v>
      </c>
      <c r="I106" s="120">
        <v>0</v>
      </c>
      <c r="J106" s="120">
        <v>0</v>
      </c>
      <c r="K106" s="120">
        <v>0</v>
      </c>
      <c r="L106" s="116">
        <f t="shared" si="2"/>
        <v>0</v>
      </c>
      <c r="M106" s="116">
        <v>300</v>
      </c>
      <c r="N106" s="116">
        <f t="shared" si="3"/>
        <v>0</v>
      </c>
    </row>
    <row r="107" ht="22.5" customHeight="1" spans="1:14">
      <c r="A107" s="113">
        <v>46128</v>
      </c>
      <c r="B107" s="114" t="s">
        <v>12</v>
      </c>
      <c r="C107" s="114">
        <v>4</v>
      </c>
      <c r="D107" s="114" t="s">
        <v>55</v>
      </c>
      <c r="E107" s="114">
        <v>16</v>
      </c>
      <c r="F107" s="114" t="s">
        <v>34</v>
      </c>
      <c r="G107" s="120">
        <v>65.5</v>
      </c>
      <c r="H107" s="120">
        <v>0</v>
      </c>
      <c r="I107" s="120">
        <v>115.5</v>
      </c>
      <c r="J107" s="120">
        <v>0</v>
      </c>
      <c r="K107" s="120">
        <v>0</v>
      </c>
      <c r="L107" s="116">
        <f t="shared" si="2"/>
        <v>181</v>
      </c>
      <c r="M107" s="116">
        <v>300</v>
      </c>
      <c r="N107" s="116">
        <f t="shared" si="3"/>
        <v>-119</v>
      </c>
    </row>
    <row r="108" ht="22.5" customHeight="1" spans="1:14">
      <c r="A108" s="113">
        <v>46129</v>
      </c>
      <c r="B108" s="114" t="s">
        <v>12</v>
      </c>
      <c r="C108" s="114">
        <v>4</v>
      </c>
      <c r="D108" s="114" t="s">
        <v>55</v>
      </c>
      <c r="E108" s="114">
        <v>16</v>
      </c>
      <c r="F108" s="114" t="s">
        <v>35</v>
      </c>
      <c r="G108" s="120">
        <v>105.5</v>
      </c>
      <c r="H108" s="120">
        <v>210.5</v>
      </c>
      <c r="I108" s="120">
        <v>125.5</v>
      </c>
      <c r="J108" s="120">
        <v>0</v>
      </c>
      <c r="K108" s="120">
        <v>0</v>
      </c>
      <c r="L108" s="116">
        <f t="shared" si="2"/>
        <v>441.5</v>
      </c>
      <c r="M108" s="116">
        <v>300</v>
      </c>
      <c r="N108" s="116">
        <f t="shared" si="3"/>
        <v>141.5</v>
      </c>
    </row>
    <row r="109" ht="22.5" customHeight="1" spans="1:14">
      <c r="A109" s="113">
        <v>46130</v>
      </c>
      <c r="B109" s="114" t="s">
        <v>12</v>
      </c>
      <c r="C109" s="114">
        <v>4</v>
      </c>
      <c r="D109" s="114" t="s">
        <v>55</v>
      </c>
      <c r="E109" s="114">
        <v>16</v>
      </c>
      <c r="F109" s="114" t="s">
        <v>36</v>
      </c>
      <c r="G109" s="115">
        <v>0</v>
      </c>
      <c r="H109" s="115">
        <v>0</v>
      </c>
      <c r="I109" s="115">
        <v>0</v>
      </c>
      <c r="J109" s="115">
        <v>0</v>
      </c>
      <c r="K109" s="115">
        <v>0</v>
      </c>
      <c r="L109" s="116">
        <f t="shared" si="2"/>
        <v>0</v>
      </c>
      <c r="M109" s="116">
        <v>300</v>
      </c>
      <c r="N109" s="116">
        <f t="shared" si="3"/>
        <v>0</v>
      </c>
    </row>
    <row r="110" ht="22.5" customHeight="1" spans="1:14">
      <c r="A110" s="113">
        <v>46131</v>
      </c>
      <c r="B110" s="114" t="s">
        <v>12</v>
      </c>
      <c r="C110" s="114">
        <v>4</v>
      </c>
      <c r="D110" s="114" t="s">
        <v>55</v>
      </c>
      <c r="E110" s="114">
        <v>17</v>
      </c>
      <c r="F110" s="114" t="s">
        <v>30</v>
      </c>
      <c r="G110" s="115">
        <v>0</v>
      </c>
      <c r="H110" s="115">
        <v>0</v>
      </c>
      <c r="I110" s="115">
        <v>0</v>
      </c>
      <c r="J110" s="115">
        <v>0</v>
      </c>
      <c r="K110" s="115">
        <v>0</v>
      </c>
      <c r="L110" s="116">
        <f t="shared" si="2"/>
        <v>0</v>
      </c>
      <c r="M110" s="116">
        <v>300</v>
      </c>
      <c r="N110" s="116">
        <f t="shared" si="3"/>
        <v>0</v>
      </c>
    </row>
    <row r="111" ht="22.5" customHeight="1" spans="1:14">
      <c r="A111" s="113">
        <v>46132</v>
      </c>
      <c r="B111" s="114" t="s">
        <v>12</v>
      </c>
      <c r="C111" s="114">
        <v>4</v>
      </c>
      <c r="D111" s="114" t="s">
        <v>55</v>
      </c>
      <c r="E111" s="114">
        <v>17</v>
      </c>
      <c r="F111" s="114" t="s">
        <v>31</v>
      </c>
      <c r="G111" s="120">
        <v>100.5</v>
      </c>
      <c r="H111" s="120">
        <v>195.5</v>
      </c>
      <c r="I111" s="120">
        <v>120.5</v>
      </c>
      <c r="J111" s="120">
        <v>15.5</v>
      </c>
      <c r="K111" s="120">
        <v>0</v>
      </c>
      <c r="L111" s="116">
        <f t="shared" si="2"/>
        <v>432</v>
      </c>
      <c r="M111" s="116">
        <v>300</v>
      </c>
      <c r="N111" s="116">
        <f t="shared" si="3"/>
        <v>132</v>
      </c>
    </row>
    <row r="112" ht="22.5" customHeight="1" spans="1:14">
      <c r="A112" s="113">
        <v>46133</v>
      </c>
      <c r="B112" s="114" t="s">
        <v>12</v>
      </c>
      <c r="C112" s="114">
        <v>4</v>
      </c>
      <c r="D112" s="114" t="s">
        <v>55</v>
      </c>
      <c r="E112" s="114">
        <v>17</v>
      </c>
      <c r="F112" s="114" t="s">
        <v>32</v>
      </c>
      <c r="G112" s="121">
        <v>55.5</v>
      </c>
      <c r="H112" s="121">
        <v>160.5</v>
      </c>
      <c r="I112" s="121">
        <v>95.5</v>
      </c>
      <c r="J112" s="121">
        <v>0</v>
      </c>
      <c r="K112" s="121">
        <v>65.5</v>
      </c>
      <c r="L112" s="116">
        <f t="shared" si="2"/>
        <v>377</v>
      </c>
      <c r="M112" s="116">
        <v>300</v>
      </c>
      <c r="N112" s="116">
        <f t="shared" si="3"/>
        <v>77</v>
      </c>
    </row>
    <row r="113" ht="22.5" customHeight="1" spans="1:14">
      <c r="A113" s="113">
        <v>46134</v>
      </c>
      <c r="B113" s="114" t="s">
        <v>12</v>
      </c>
      <c r="C113" s="114">
        <v>4</v>
      </c>
      <c r="D113" s="114" t="s">
        <v>55</v>
      </c>
      <c r="E113" s="114">
        <v>17</v>
      </c>
      <c r="F113" s="114" t="s">
        <v>33</v>
      </c>
      <c r="G113" s="120">
        <v>60.5</v>
      </c>
      <c r="H113" s="120">
        <v>130.5</v>
      </c>
      <c r="I113" s="120">
        <v>80.5</v>
      </c>
      <c r="J113" s="120">
        <v>15.5</v>
      </c>
      <c r="K113" s="120">
        <v>30.5</v>
      </c>
      <c r="L113" s="116">
        <f t="shared" si="2"/>
        <v>317.5</v>
      </c>
      <c r="M113" s="116">
        <v>300</v>
      </c>
      <c r="N113" s="116">
        <f t="shared" si="3"/>
        <v>17.5</v>
      </c>
    </row>
    <row r="114" ht="22.5" customHeight="1" spans="1:14">
      <c r="A114" s="113">
        <v>46135</v>
      </c>
      <c r="B114" s="114" t="s">
        <v>12</v>
      </c>
      <c r="C114" s="114">
        <v>4</v>
      </c>
      <c r="D114" s="114" t="s">
        <v>55</v>
      </c>
      <c r="E114" s="114">
        <v>17</v>
      </c>
      <c r="F114" s="114" t="s">
        <v>34</v>
      </c>
      <c r="G114" s="120">
        <v>40.5</v>
      </c>
      <c r="H114" s="120">
        <v>190.5</v>
      </c>
      <c r="I114" s="120">
        <v>105.5</v>
      </c>
      <c r="J114" s="120">
        <v>10.5</v>
      </c>
      <c r="K114" s="120">
        <v>80.5</v>
      </c>
      <c r="L114" s="116">
        <f t="shared" si="2"/>
        <v>427.5</v>
      </c>
      <c r="M114" s="116">
        <v>300</v>
      </c>
      <c r="N114" s="116">
        <f t="shared" si="3"/>
        <v>127.5</v>
      </c>
    </row>
    <row r="115" ht="22.5" customHeight="1" spans="1:14">
      <c r="A115" s="113">
        <v>46136</v>
      </c>
      <c r="B115" s="114" t="s">
        <v>12</v>
      </c>
      <c r="C115" s="114">
        <v>4</v>
      </c>
      <c r="D115" s="114" t="s">
        <v>55</v>
      </c>
      <c r="E115" s="114">
        <v>17</v>
      </c>
      <c r="F115" s="114" t="s">
        <v>35</v>
      </c>
      <c r="G115" s="120">
        <v>80.5</v>
      </c>
      <c r="H115" s="120">
        <v>270.5</v>
      </c>
      <c r="I115" s="120">
        <v>75.5</v>
      </c>
      <c r="J115" s="120">
        <v>30.5</v>
      </c>
      <c r="K115" s="120">
        <v>0</v>
      </c>
      <c r="L115" s="116">
        <f t="shared" si="2"/>
        <v>457</v>
      </c>
      <c r="M115" s="116">
        <v>300</v>
      </c>
      <c r="N115" s="116">
        <f t="shared" si="3"/>
        <v>157</v>
      </c>
    </row>
    <row r="116" ht="22.5" customHeight="1" spans="1:14">
      <c r="A116" s="113">
        <v>46137</v>
      </c>
      <c r="B116" s="114" t="s">
        <v>12</v>
      </c>
      <c r="C116" s="114">
        <v>4</v>
      </c>
      <c r="D116" s="114" t="s">
        <v>55</v>
      </c>
      <c r="E116" s="114">
        <v>17</v>
      </c>
      <c r="F116" s="114" t="s">
        <v>36</v>
      </c>
      <c r="G116" s="115">
        <v>0</v>
      </c>
      <c r="H116" s="115">
        <v>0</v>
      </c>
      <c r="I116" s="115">
        <v>0</v>
      </c>
      <c r="J116" s="115">
        <v>0</v>
      </c>
      <c r="K116" s="115">
        <v>0</v>
      </c>
      <c r="L116" s="116">
        <f t="shared" si="2"/>
        <v>0</v>
      </c>
      <c r="M116" s="116">
        <v>300</v>
      </c>
      <c r="N116" s="116">
        <f t="shared" si="3"/>
        <v>0</v>
      </c>
    </row>
    <row r="117" ht="22.5" customHeight="1" spans="1:14">
      <c r="A117" s="113">
        <v>46138</v>
      </c>
      <c r="B117" s="114" t="s">
        <v>12</v>
      </c>
      <c r="C117" s="114">
        <v>4</v>
      </c>
      <c r="D117" s="114" t="s">
        <v>55</v>
      </c>
      <c r="E117" s="114">
        <v>18</v>
      </c>
      <c r="F117" s="114" t="s">
        <v>30</v>
      </c>
      <c r="G117" s="115">
        <v>0</v>
      </c>
      <c r="H117" s="115">
        <v>0</v>
      </c>
      <c r="I117" s="115">
        <v>0</v>
      </c>
      <c r="J117" s="115">
        <v>0</v>
      </c>
      <c r="K117" s="115">
        <v>0</v>
      </c>
      <c r="L117" s="116">
        <f t="shared" si="2"/>
        <v>0</v>
      </c>
      <c r="M117" s="116">
        <v>300</v>
      </c>
      <c r="N117" s="116">
        <f t="shared" si="3"/>
        <v>0</v>
      </c>
    </row>
    <row r="118" ht="22.5" customHeight="1" spans="1:14">
      <c r="A118" s="113">
        <v>46139</v>
      </c>
      <c r="B118" s="114" t="s">
        <v>12</v>
      </c>
      <c r="C118" s="114">
        <v>4</v>
      </c>
      <c r="D118" s="114" t="s">
        <v>55</v>
      </c>
      <c r="E118" s="114">
        <v>18</v>
      </c>
      <c r="F118" s="114" t="s">
        <v>31</v>
      </c>
      <c r="G118" s="120">
        <v>70.5</v>
      </c>
      <c r="H118" s="120">
        <v>145.5</v>
      </c>
      <c r="I118" s="120">
        <v>90.5</v>
      </c>
      <c r="J118" s="120">
        <v>20.5</v>
      </c>
      <c r="K118" s="120">
        <v>50.5</v>
      </c>
      <c r="L118" s="116">
        <f t="shared" si="2"/>
        <v>377.5</v>
      </c>
      <c r="M118" s="116">
        <v>300</v>
      </c>
      <c r="N118" s="116">
        <f t="shared" si="3"/>
        <v>77.5</v>
      </c>
    </row>
    <row r="119" ht="22.5" customHeight="1" spans="1:14">
      <c r="A119" s="113">
        <v>46140</v>
      </c>
      <c r="B119" s="114" t="s">
        <v>12</v>
      </c>
      <c r="C119" s="114">
        <v>4</v>
      </c>
      <c r="D119" s="114" t="s">
        <v>55</v>
      </c>
      <c r="E119" s="114">
        <v>18</v>
      </c>
      <c r="F119" s="114" t="s">
        <v>32</v>
      </c>
      <c r="G119" s="120">
        <v>55.5</v>
      </c>
      <c r="H119" s="120">
        <v>0</v>
      </c>
      <c r="I119" s="120">
        <v>0</v>
      </c>
      <c r="J119" s="120">
        <v>10.5</v>
      </c>
      <c r="K119" s="120">
        <v>65.5</v>
      </c>
      <c r="L119" s="116">
        <f t="shared" si="2"/>
        <v>131.5</v>
      </c>
      <c r="M119" s="116">
        <v>300</v>
      </c>
      <c r="N119" s="116">
        <f t="shared" si="3"/>
        <v>-168.5</v>
      </c>
    </row>
    <row r="120" ht="22.5" customHeight="1" spans="1:14">
      <c r="A120" s="113">
        <v>46141</v>
      </c>
      <c r="B120" s="114" t="s">
        <v>12</v>
      </c>
      <c r="C120" s="114">
        <v>4</v>
      </c>
      <c r="D120" s="114" t="s">
        <v>55</v>
      </c>
      <c r="E120" s="114">
        <v>18</v>
      </c>
      <c r="F120" s="114" t="s">
        <v>33</v>
      </c>
      <c r="G120" s="120">
        <v>105.5</v>
      </c>
      <c r="H120" s="120">
        <v>0</v>
      </c>
      <c r="I120" s="120">
        <v>125.5</v>
      </c>
      <c r="J120" s="120">
        <v>30.5</v>
      </c>
      <c r="K120" s="120">
        <v>0</v>
      </c>
      <c r="L120" s="116">
        <f t="shared" si="2"/>
        <v>261.5</v>
      </c>
      <c r="M120" s="116">
        <v>300</v>
      </c>
      <c r="N120" s="116">
        <f t="shared" si="3"/>
        <v>-38.5</v>
      </c>
    </row>
    <row r="121" ht="22.5" customHeight="1" spans="1:14">
      <c r="A121" s="113">
        <v>46142</v>
      </c>
      <c r="B121" s="114" t="s">
        <v>12</v>
      </c>
      <c r="C121" s="114">
        <v>4</v>
      </c>
      <c r="D121" s="114" t="s">
        <v>55</v>
      </c>
      <c r="E121" s="114">
        <v>18</v>
      </c>
      <c r="F121" s="114" t="s">
        <v>34</v>
      </c>
      <c r="G121" s="120">
        <v>45.5</v>
      </c>
      <c r="H121" s="120">
        <v>185.5</v>
      </c>
      <c r="I121" s="120">
        <v>85.5</v>
      </c>
      <c r="J121" s="120">
        <v>0</v>
      </c>
      <c r="K121" s="120">
        <v>50.5</v>
      </c>
      <c r="L121" s="116">
        <f t="shared" si="2"/>
        <v>367</v>
      </c>
      <c r="M121" s="116">
        <v>300</v>
      </c>
      <c r="N121" s="116">
        <f t="shared" si="3"/>
        <v>67</v>
      </c>
    </row>
    <row r="122" ht="22.5" customHeight="1" spans="1:14">
      <c r="A122" s="113">
        <v>46143</v>
      </c>
      <c r="B122" s="114" t="s">
        <v>13</v>
      </c>
      <c r="C122" s="114">
        <v>5</v>
      </c>
      <c r="D122" s="114" t="s">
        <v>55</v>
      </c>
      <c r="E122" s="114">
        <v>18</v>
      </c>
      <c r="F122" s="114" t="s">
        <v>35</v>
      </c>
      <c r="G122" s="120">
        <v>75.5</v>
      </c>
      <c r="H122" s="120">
        <v>150.5</v>
      </c>
      <c r="I122" s="120">
        <v>0</v>
      </c>
      <c r="J122" s="120">
        <v>0</v>
      </c>
      <c r="K122" s="120">
        <v>50.5</v>
      </c>
      <c r="L122" s="116">
        <f t="shared" si="2"/>
        <v>276.5</v>
      </c>
      <c r="M122" s="116">
        <v>300</v>
      </c>
      <c r="N122" s="116">
        <f t="shared" si="3"/>
        <v>-23.5</v>
      </c>
    </row>
    <row r="123" ht="22.5" customHeight="1" spans="1:14">
      <c r="A123" s="113">
        <v>46144</v>
      </c>
      <c r="B123" s="114" t="s">
        <v>13</v>
      </c>
      <c r="C123" s="114">
        <v>5</v>
      </c>
      <c r="D123" s="114" t="s">
        <v>55</v>
      </c>
      <c r="E123" s="114">
        <v>18</v>
      </c>
      <c r="F123" s="114" t="s">
        <v>36</v>
      </c>
      <c r="G123" s="115">
        <v>0</v>
      </c>
      <c r="H123" s="115">
        <v>0</v>
      </c>
      <c r="I123" s="115">
        <v>0</v>
      </c>
      <c r="J123" s="115">
        <v>0</v>
      </c>
      <c r="K123" s="115">
        <v>0</v>
      </c>
      <c r="L123" s="116">
        <f t="shared" si="2"/>
        <v>0</v>
      </c>
      <c r="M123" s="116">
        <v>300</v>
      </c>
      <c r="N123" s="116">
        <f t="shared" si="3"/>
        <v>0</v>
      </c>
    </row>
    <row r="124" ht="22.5" customHeight="1" spans="1:14">
      <c r="A124" s="113">
        <v>46145</v>
      </c>
      <c r="B124" s="114" t="s">
        <v>13</v>
      </c>
      <c r="C124" s="114">
        <v>5</v>
      </c>
      <c r="D124" s="114" t="s">
        <v>55</v>
      </c>
      <c r="E124" s="114">
        <v>19</v>
      </c>
      <c r="F124" s="114" t="s">
        <v>30</v>
      </c>
      <c r="G124" s="115">
        <v>0</v>
      </c>
      <c r="H124" s="115">
        <v>0</v>
      </c>
      <c r="I124" s="115">
        <v>0</v>
      </c>
      <c r="J124" s="115">
        <v>0</v>
      </c>
      <c r="K124" s="115">
        <v>0</v>
      </c>
      <c r="L124" s="116">
        <f t="shared" si="2"/>
        <v>0</v>
      </c>
      <c r="M124" s="116">
        <v>300</v>
      </c>
      <c r="N124" s="116">
        <f t="shared" si="3"/>
        <v>0</v>
      </c>
    </row>
    <row r="125" ht="22.5" customHeight="1" spans="1:14">
      <c r="A125" s="113">
        <v>46146</v>
      </c>
      <c r="B125" s="114" t="s">
        <v>13</v>
      </c>
      <c r="C125" s="114">
        <v>5</v>
      </c>
      <c r="D125" s="114" t="s">
        <v>55</v>
      </c>
      <c r="E125" s="114">
        <v>19</v>
      </c>
      <c r="F125" s="114" t="s">
        <v>31</v>
      </c>
      <c r="G125" s="120">
        <v>60.5</v>
      </c>
      <c r="H125" s="120">
        <v>200.5</v>
      </c>
      <c r="I125" s="120">
        <v>115.5</v>
      </c>
      <c r="J125" s="120">
        <v>25.5</v>
      </c>
      <c r="K125" s="120">
        <v>80.5</v>
      </c>
      <c r="L125" s="116">
        <f t="shared" si="2"/>
        <v>482.5</v>
      </c>
      <c r="M125" s="116">
        <v>300</v>
      </c>
      <c r="N125" s="116">
        <f t="shared" si="3"/>
        <v>182.5</v>
      </c>
    </row>
    <row r="126" ht="22.5" customHeight="1" spans="1:14">
      <c r="A126" s="113">
        <v>46147</v>
      </c>
      <c r="B126" s="114" t="s">
        <v>13</v>
      </c>
      <c r="C126" s="114">
        <v>5</v>
      </c>
      <c r="D126" s="114" t="s">
        <v>55</v>
      </c>
      <c r="E126" s="114">
        <v>19</v>
      </c>
      <c r="F126" s="114" t="s">
        <v>32</v>
      </c>
      <c r="G126" s="120">
        <v>35.5</v>
      </c>
      <c r="H126" s="120">
        <v>130.5</v>
      </c>
      <c r="I126" s="120">
        <v>0</v>
      </c>
      <c r="J126" s="120">
        <v>0</v>
      </c>
      <c r="K126" s="120">
        <v>45.5</v>
      </c>
      <c r="L126" s="116">
        <f t="shared" si="2"/>
        <v>211.5</v>
      </c>
      <c r="M126" s="116">
        <v>300</v>
      </c>
      <c r="N126" s="116">
        <f t="shared" si="3"/>
        <v>-88.5</v>
      </c>
    </row>
    <row r="127" ht="22.5" customHeight="1" spans="1:14">
      <c r="A127" s="113">
        <v>46148</v>
      </c>
      <c r="B127" s="114" t="s">
        <v>13</v>
      </c>
      <c r="C127" s="114">
        <v>5</v>
      </c>
      <c r="D127" s="114" t="s">
        <v>55</v>
      </c>
      <c r="E127" s="114">
        <v>19</v>
      </c>
      <c r="F127" s="114" t="s">
        <v>33</v>
      </c>
      <c r="G127" s="120">
        <v>105.5</v>
      </c>
      <c r="H127" s="120">
        <v>230.5</v>
      </c>
      <c r="I127" s="120">
        <v>65.5</v>
      </c>
      <c r="J127" s="120">
        <v>25.5</v>
      </c>
      <c r="K127" s="120">
        <v>65.5</v>
      </c>
      <c r="L127" s="116">
        <f t="shared" si="2"/>
        <v>492.5</v>
      </c>
      <c r="M127" s="116">
        <v>300</v>
      </c>
      <c r="N127" s="116">
        <f t="shared" si="3"/>
        <v>192.5</v>
      </c>
    </row>
    <row r="128" ht="22.5" customHeight="1" spans="1:14">
      <c r="A128" s="113">
        <v>46149</v>
      </c>
      <c r="B128" s="114" t="s">
        <v>13</v>
      </c>
      <c r="C128" s="114">
        <v>5</v>
      </c>
      <c r="D128" s="114" t="s">
        <v>55</v>
      </c>
      <c r="E128" s="114">
        <v>19</v>
      </c>
      <c r="F128" s="114" t="s">
        <v>34</v>
      </c>
      <c r="G128" s="120">
        <v>0</v>
      </c>
      <c r="H128" s="120">
        <v>0</v>
      </c>
      <c r="I128" s="120">
        <v>0</v>
      </c>
      <c r="J128" s="120">
        <v>0</v>
      </c>
      <c r="K128" s="120">
        <v>0</v>
      </c>
      <c r="L128" s="116">
        <f t="shared" si="2"/>
        <v>0</v>
      </c>
      <c r="M128" s="116">
        <v>300</v>
      </c>
      <c r="N128" s="116">
        <f t="shared" si="3"/>
        <v>0</v>
      </c>
    </row>
    <row r="129" ht="22.5" customHeight="1" spans="1:14">
      <c r="A129" s="113">
        <v>46150</v>
      </c>
      <c r="B129" s="114" t="s">
        <v>13</v>
      </c>
      <c r="C129" s="114">
        <v>5</v>
      </c>
      <c r="D129" s="114" t="s">
        <v>55</v>
      </c>
      <c r="E129" s="114">
        <v>19</v>
      </c>
      <c r="F129" s="114" t="s">
        <v>35</v>
      </c>
      <c r="G129" s="120">
        <v>0</v>
      </c>
      <c r="H129" s="120">
        <v>145.5</v>
      </c>
      <c r="I129" s="120">
        <v>60.5</v>
      </c>
      <c r="J129" s="120">
        <v>20.5</v>
      </c>
      <c r="K129" s="120">
        <v>40.5</v>
      </c>
      <c r="L129" s="116">
        <f t="shared" si="2"/>
        <v>267</v>
      </c>
      <c r="M129" s="116">
        <v>300</v>
      </c>
      <c r="N129" s="116">
        <f t="shared" si="3"/>
        <v>-33</v>
      </c>
    </row>
    <row r="130" ht="22.5" customHeight="1" spans="1:14">
      <c r="A130" s="113">
        <v>46151</v>
      </c>
      <c r="B130" s="114" t="s">
        <v>13</v>
      </c>
      <c r="C130" s="114">
        <v>5</v>
      </c>
      <c r="D130" s="114" t="s">
        <v>55</v>
      </c>
      <c r="E130" s="114">
        <v>19</v>
      </c>
      <c r="F130" s="114" t="s">
        <v>36</v>
      </c>
      <c r="G130" s="115">
        <v>0</v>
      </c>
      <c r="H130" s="115">
        <v>0</v>
      </c>
      <c r="I130" s="115">
        <v>0</v>
      </c>
      <c r="J130" s="115">
        <v>0</v>
      </c>
      <c r="K130" s="115">
        <v>0</v>
      </c>
      <c r="L130" s="116">
        <f t="shared" si="2"/>
        <v>0</v>
      </c>
      <c r="M130" s="116">
        <v>300</v>
      </c>
      <c r="N130" s="116">
        <f t="shared" si="3"/>
        <v>0</v>
      </c>
    </row>
    <row r="131" ht="22.5" customHeight="1" spans="1:14">
      <c r="A131" s="113">
        <v>46152</v>
      </c>
      <c r="B131" s="114" t="s">
        <v>13</v>
      </c>
      <c r="C131" s="114">
        <v>5</v>
      </c>
      <c r="D131" s="114" t="s">
        <v>55</v>
      </c>
      <c r="E131" s="114">
        <v>20</v>
      </c>
      <c r="F131" s="114" t="s">
        <v>30</v>
      </c>
      <c r="G131" s="115">
        <v>0</v>
      </c>
      <c r="H131" s="115">
        <v>0</v>
      </c>
      <c r="I131" s="115">
        <v>0</v>
      </c>
      <c r="J131" s="115">
        <v>0</v>
      </c>
      <c r="K131" s="115">
        <v>0</v>
      </c>
      <c r="L131" s="116">
        <f t="shared" ref="L131:L194" si="4">SUM(G131:K131)</f>
        <v>0</v>
      </c>
      <c r="M131" s="116">
        <v>300</v>
      </c>
      <c r="N131" s="116">
        <f t="shared" ref="N131:N194" si="5">IF(L131=0,0,L131-M131)</f>
        <v>0</v>
      </c>
    </row>
    <row r="132" ht="22.5" customHeight="1" spans="1:14">
      <c r="A132" s="113">
        <v>46153</v>
      </c>
      <c r="B132" s="114" t="s">
        <v>13</v>
      </c>
      <c r="C132" s="114">
        <v>5</v>
      </c>
      <c r="D132" s="114" t="s">
        <v>55</v>
      </c>
      <c r="E132" s="114">
        <v>20</v>
      </c>
      <c r="F132" s="114" t="s">
        <v>31</v>
      </c>
      <c r="G132" s="120">
        <v>45.5</v>
      </c>
      <c r="H132" s="120">
        <v>0</v>
      </c>
      <c r="I132" s="120">
        <v>95.5</v>
      </c>
      <c r="J132" s="120">
        <v>0</v>
      </c>
      <c r="K132" s="120">
        <v>50.5</v>
      </c>
      <c r="L132" s="116">
        <f t="shared" si="4"/>
        <v>191.5</v>
      </c>
      <c r="M132" s="116">
        <v>300</v>
      </c>
      <c r="N132" s="116">
        <f t="shared" si="5"/>
        <v>-108.5</v>
      </c>
    </row>
    <row r="133" ht="22.5" customHeight="1" spans="1:14">
      <c r="A133" s="113">
        <v>46154</v>
      </c>
      <c r="B133" s="114" t="s">
        <v>13</v>
      </c>
      <c r="C133" s="114">
        <v>5</v>
      </c>
      <c r="D133" s="114" t="s">
        <v>55</v>
      </c>
      <c r="E133" s="114">
        <v>20</v>
      </c>
      <c r="F133" s="114" t="s">
        <v>32</v>
      </c>
      <c r="G133" s="120">
        <v>50.5</v>
      </c>
      <c r="H133" s="120">
        <v>120.5</v>
      </c>
      <c r="I133" s="120">
        <v>75.5</v>
      </c>
      <c r="J133" s="120">
        <v>0</v>
      </c>
      <c r="K133" s="120">
        <v>0</v>
      </c>
      <c r="L133" s="116">
        <f t="shared" si="4"/>
        <v>246.5</v>
      </c>
      <c r="M133" s="116">
        <v>300</v>
      </c>
      <c r="N133" s="116">
        <f t="shared" si="5"/>
        <v>-53.5</v>
      </c>
    </row>
    <row r="134" ht="22.5" customHeight="1" spans="1:14">
      <c r="A134" s="113">
        <v>46155</v>
      </c>
      <c r="B134" s="114" t="s">
        <v>13</v>
      </c>
      <c r="C134" s="114">
        <v>5</v>
      </c>
      <c r="D134" s="114" t="s">
        <v>55</v>
      </c>
      <c r="E134" s="114">
        <v>20</v>
      </c>
      <c r="F134" s="114" t="s">
        <v>33</v>
      </c>
      <c r="G134" s="120">
        <v>70.5</v>
      </c>
      <c r="H134" s="120">
        <v>0</v>
      </c>
      <c r="I134" s="120">
        <v>65.5</v>
      </c>
      <c r="J134" s="120">
        <v>15.5</v>
      </c>
      <c r="K134" s="120">
        <v>80.5</v>
      </c>
      <c r="L134" s="116">
        <f t="shared" si="4"/>
        <v>232</v>
      </c>
      <c r="M134" s="116">
        <v>300</v>
      </c>
      <c r="N134" s="116">
        <f t="shared" si="5"/>
        <v>-68</v>
      </c>
    </row>
    <row r="135" ht="22.5" customHeight="1" spans="1:14">
      <c r="A135" s="113">
        <v>46156</v>
      </c>
      <c r="B135" s="114" t="s">
        <v>13</v>
      </c>
      <c r="C135" s="114">
        <v>5</v>
      </c>
      <c r="D135" s="114" t="s">
        <v>55</v>
      </c>
      <c r="E135" s="114">
        <v>20</v>
      </c>
      <c r="F135" s="114" t="s">
        <v>34</v>
      </c>
      <c r="G135" s="120">
        <v>0</v>
      </c>
      <c r="H135" s="120">
        <v>0</v>
      </c>
      <c r="I135" s="120">
        <v>0</v>
      </c>
      <c r="J135" s="120">
        <v>0</v>
      </c>
      <c r="K135" s="120">
        <v>0</v>
      </c>
      <c r="L135" s="116">
        <f t="shared" si="4"/>
        <v>0</v>
      </c>
      <c r="M135" s="116">
        <v>300</v>
      </c>
      <c r="N135" s="116">
        <f t="shared" si="5"/>
        <v>0</v>
      </c>
    </row>
    <row r="136" ht="22.5" customHeight="1" spans="1:14">
      <c r="A136" s="113">
        <v>46157</v>
      </c>
      <c r="B136" s="114" t="s">
        <v>13</v>
      </c>
      <c r="C136" s="114">
        <v>5</v>
      </c>
      <c r="D136" s="114" t="s">
        <v>55</v>
      </c>
      <c r="E136" s="114">
        <v>20</v>
      </c>
      <c r="F136" s="114" t="s">
        <v>35</v>
      </c>
      <c r="G136" s="120">
        <v>0</v>
      </c>
      <c r="H136" s="120">
        <v>365.5</v>
      </c>
      <c r="I136" s="120">
        <v>145.5</v>
      </c>
      <c r="J136" s="120">
        <v>15.5</v>
      </c>
      <c r="K136" s="120">
        <v>80.5</v>
      </c>
      <c r="L136" s="116">
        <f t="shared" si="4"/>
        <v>607</v>
      </c>
      <c r="M136" s="116">
        <v>300</v>
      </c>
      <c r="N136" s="116">
        <f t="shared" si="5"/>
        <v>307</v>
      </c>
    </row>
    <row r="137" ht="22.5" customHeight="1" spans="1:14">
      <c r="A137" s="113">
        <v>46158</v>
      </c>
      <c r="B137" s="114" t="s">
        <v>13</v>
      </c>
      <c r="C137" s="114">
        <v>5</v>
      </c>
      <c r="D137" s="114" t="s">
        <v>55</v>
      </c>
      <c r="E137" s="114">
        <v>20</v>
      </c>
      <c r="F137" s="114" t="s">
        <v>36</v>
      </c>
      <c r="G137" s="115">
        <v>0</v>
      </c>
      <c r="H137" s="115">
        <v>0</v>
      </c>
      <c r="I137" s="115">
        <v>0</v>
      </c>
      <c r="J137" s="115">
        <v>0</v>
      </c>
      <c r="K137" s="115">
        <v>0</v>
      </c>
      <c r="L137" s="116">
        <f t="shared" si="4"/>
        <v>0</v>
      </c>
      <c r="M137" s="116">
        <v>300</v>
      </c>
      <c r="N137" s="116">
        <f t="shared" si="5"/>
        <v>0</v>
      </c>
    </row>
    <row r="138" ht="22.5" customHeight="1" spans="1:14">
      <c r="A138" s="113">
        <v>46159</v>
      </c>
      <c r="B138" s="114" t="s">
        <v>13</v>
      </c>
      <c r="C138" s="114">
        <v>5</v>
      </c>
      <c r="D138" s="114" t="s">
        <v>55</v>
      </c>
      <c r="E138" s="114">
        <v>21</v>
      </c>
      <c r="F138" s="114" t="s">
        <v>30</v>
      </c>
      <c r="G138" s="115">
        <v>0</v>
      </c>
      <c r="H138" s="115">
        <v>0</v>
      </c>
      <c r="I138" s="115">
        <v>0</v>
      </c>
      <c r="J138" s="115">
        <v>0</v>
      </c>
      <c r="K138" s="115">
        <v>0</v>
      </c>
      <c r="L138" s="116">
        <f t="shared" si="4"/>
        <v>0</v>
      </c>
      <c r="M138" s="116">
        <v>300</v>
      </c>
      <c r="N138" s="116">
        <f t="shared" si="5"/>
        <v>0</v>
      </c>
    </row>
    <row r="139" ht="22.5" customHeight="1" spans="1:14">
      <c r="A139" s="113">
        <v>46160</v>
      </c>
      <c r="B139" s="114" t="s">
        <v>13</v>
      </c>
      <c r="C139" s="114">
        <v>5</v>
      </c>
      <c r="D139" s="114" t="s">
        <v>55</v>
      </c>
      <c r="E139" s="114">
        <v>21</v>
      </c>
      <c r="F139" s="114" t="s">
        <v>31</v>
      </c>
      <c r="G139" s="120">
        <v>60.5</v>
      </c>
      <c r="H139" s="120">
        <v>195.5</v>
      </c>
      <c r="I139" s="120">
        <v>75.5</v>
      </c>
      <c r="J139" s="120">
        <v>25.5</v>
      </c>
      <c r="K139" s="120">
        <v>87.5</v>
      </c>
      <c r="L139" s="116">
        <f t="shared" si="4"/>
        <v>444.5</v>
      </c>
      <c r="M139" s="116">
        <v>300</v>
      </c>
      <c r="N139" s="116">
        <f t="shared" si="5"/>
        <v>144.5</v>
      </c>
    </row>
    <row r="140" ht="22.5" customHeight="1" spans="1:14">
      <c r="A140" s="113">
        <v>46161</v>
      </c>
      <c r="B140" s="114" t="s">
        <v>13</v>
      </c>
      <c r="C140" s="114">
        <v>5</v>
      </c>
      <c r="D140" s="114" t="s">
        <v>55</v>
      </c>
      <c r="E140" s="114">
        <v>21</v>
      </c>
      <c r="F140" s="114" t="s">
        <v>32</v>
      </c>
      <c r="G140" s="120">
        <v>0</v>
      </c>
      <c r="H140" s="120">
        <v>0</v>
      </c>
      <c r="I140" s="120">
        <v>0</v>
      </c>
      <c r="J140" s="120">
        <v>0</v>
      </c>
      <c r="K140" s="120">
        <v>0</v>
      </c>
      <c r="L140" s="116">
        <f t="shared" si="4"/>
        <v>0</v>
      </c>
      <c r="M140" s="116">
        <v>300</v>
      </c>
      <c r="N140" s="116">
        <f t="shared" si="5"/>
        <v>0</v>
      </c>
    </row>
    <row r="141" ht="22.5" customHeight="1" spans="1:14">
      <c r="A141" s="113">
        <v>46162</v>
      </c>
      <c r="B141" s="114" t="s">
        <v>13</v>
      </c>
      <c r="C141" s="114">
        <v>5</v>
      </c>
      <c r="D141" s="114" t="s">
        <v>55</v>
      </c>
      <c r="E141" s="114">
        <v>21</v>
      </c>
      <c r="F141" s="114" t="s">
        <v>33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L141" s="116">
        <f t="shared" si="4"/>
        <v>0</v>
      </c>
      <c r="M141" s="116">
        <v>300</v>
      </c>
      <c r="N141" s="116">
        <f t="shared" si="5"/>
        <v>0</v>
      </c>
    </row>
    <row r="142" ht="22.5" customHeight="1" spans="1:14">
      <c r="A142" s="113">
        <v>46163</v>
      </c>
      <c r="B142" s="114" t="s">
        <v>13</v>
      </c>
      <c r="C142" s="114">
        <v>5</v>
      </c>
      <c r="D142" s="114" t="s">
        <v>55</v>
      </c>
      <c r="E142" s="114">
        <v>21</v>
      </c>
      <c r="F142" s="114" t="s">
        <v>34</v>
      </c>
      <c r="G142" s="120">
        <v>90.5</v>
      </c>
      <c r="H142" s="120">
        <v>190.5</v>
      </c>
      <c r="I142" s="120">
        <v>100.5</v>
      </c>
      <c r="J142" s="120">
        <v>20.5</v>
      </c>
      <c r="K142" s="120">
        <v>65.5</v>
      </c>
      <c r="L142" s="116">
        <f t="shared" si="4"/>
        <v>467.5</v>
      </c>
      <c r="M142" s="116">
        <v>300</v>
      </c>
      <c r="N142" s="116">
        <f t="shared" si="5"/>
        <v>167.5</v>
      </c>
    </row>
    <row r="143" ht="22.5" customHeight="1" spans="1:14">
      <c r="A143" s="113">
        <v>46164</v>
      </c>
      <c r="B143" s="114" t="s">
        <v>13</v>
      </c>
      <c r="C143" s="114">
        <v>5</v>
      </c>
      <c r="D143" s="114" t="s">
        <v>55</v>
      </c>
      <c r="E143" s="114">
        <v>21</v>
      </c>
      <c r="F143" s="114" t="s">
        <v>35</v>
      </c>
      <c r="G143" s="120">
        <v>90.5</v>
      </c>
      <c r="H143" s="120">
        <v>180.5</v>
      </c>
      <c r="I143" s="120">
        <v>0</v>
      </c>
      <c r="J143" s="120">
        <v>0</v>
      </c>
      <c r="K143" s="120">
        <v>67.5</v>
      </c>
      <c r="L143" s="116">
        <f t="shared" si="4"/>
        <v>338.5</v>
      </c>
      <c r="M143" s="116">
        <v>300</v>
      </c>
      <c r="N143" s="116">
        <f t="shared" si="5"/>
        <v>38.5</v>
      </c>
    </row>
    <row r="144" ht="22.5" customHeight="1" spans="1:14">
      <c r="A144" s="113">
        <v>46165</v>
      </c>
      <c r="B144" s="114" t="s">
        <v>13</v>
      </c>
      <c r="C144" s="114">
        <v>5</v>
      </c>
      <c r="D144" s="114" t="s">
        <v>55</v>
      </c>
      <c r="E144" s="114">
        <v>21</v>
      </c>
      <c r="F144" s="114" t="s">
        <v>36</v>
      </c>
      <c r="G144" s="115">
        <v>0</v>
      </c>
      <c r="H144" s="115">
        <v>0</v>
      </c>
      <c r="I144" s="115">
        <v>0</v>
      </c>
      <c r="J144" s="115">
        <v>0</v>
      </c>
      <c r="K144" s="115">
        <v>0</v>
      </c>
      <c r="L144" s="116">
        <f t="shared" si="4"/>
        <v>0</v>
      </c>
      <c r="M144" s="116">
        <v>300</v>
      </c>
      <c r="N144" s="116">
        <f t="shared" si="5"/>
        <v>0</v>
      </c>
    </row>
    <row r="145" ht="22.5" customHeight="1" spans="1:14">
      <c r="A145" s="113">
        <v>46166</v>
      </c>
      <c r="B145" s="114" t="s">
        <v>13</v>
      </c>
      <c r="C145" s="114">
        <v>5</v>
      </c>
      <c r="D145" s="114" t="s">
        <v>55</v>
      </c>
      <c r="E145" s="114">
        <v>22</v>
      </c>
      <c r="F145" s="114" t="s">
        <v>30</v>
      </c>
      <c r="G145" s="115">
        <v>0</v>
      </c>
      <c r="H145" s="115">
        <v>0</v>
      </c>
      <c r="I145" s="115">
        <v>0</v>
      </c>
      <c r="J145" s="115">
        <v>0</v>
      </c>
      <c r="K145" s="115">
        <v>0</v>
      </c>
      <c r="L145" s="116">
        <f t="shared" si="4"/>
        <v>0</v>
      </c>
      <c r="M145" s="116">
        <v>300</v>
      </c>
      <c r="N145" s="116">
        <f t="shared" si="5"/>
        <v>0</v>
      </c>
    </row>
    <row r="146" ht="22.5" customHeight="1" spans="1:14">
      <c r="A146" s="113">
        <v>46167</v>
      </c>
      <c r="B146" s="114" t="s">
        <v>13</v>
      </c>
      <c r="C146" s="114">
        <v>5</v>
      </c>
      <c r="D146" s="114" t="s">
        <v>55</v>
      </c>
      <c r="E146" s="114">
        <v>22</v>
      </c>
      <c r="F146" s="114" t="s">
        <v>31</v>
      </c>
      <c r="G146" s="120">
        <v>60.5</v>
      </c>
      <c r="H146" s="120">
        <v>150.5</v>
      </c>
      <c r="I146" s="120">
        <v>80.5</v>
      </c>
      <c r="J146" s="120">
        <v>0</v>
      </c>
      <c r="K146" s="120">
        <v>30.5</v>
      </c>
      <c r="L146" s="116">
        <f t="shared" si="4"/>
        <v>322</v>
      </c>
      <c r="M146" s="116">
        <v>300</v>
      </c>
      <c r="N146" s="116">
        <f t="shared" si="5"/>
        <v>22</v>
      </c>
    </row>
    <row r="147" ht="22.5" customHeight="1" spans="1:14">
      <c r="A147" s="113">
        <v>46168</v>
      </c>
      <c r="B147" s="114" t="s">
        <v>13</v>
      </c>
      <c r="C147" s="114">
        <v>5</v>
      </c>
      <c r="D147" s="114" t="s">
        <v>55</v>
      </c>
      <c r="E147" s="114">
        <v>22</v>
      </c>
      <c r="F147" s="114" t="s">
        <v>32</v>
      </c>
      <c r="G147" s="120">
        <v>40.5</v>
      </c>
      <c r="H147" s="120">
        <v>155.5</v>
      </c>
      <c r="I147" s="120">
        <v>0</v>
      </c>
      <c r="J147" s="120">
        <v>25.5</v>
      </c>
      <c r="K147" s="120">
        <v>40.5</v>
      </c>
      <c r="L147" s="116">
        <f t="shared" si="4"/>
        <v>262</v>
      </c>
      <c r="M147" s="116">
        <v>300</v>
      </c>
      <c r="N147" s="116">
        <f t="shared" si="5"/>
        <v>-38</v>
      </c>
    </row>
    <row r="148" ht="22.5" customHeight="1" spans="1:14">
      <c r="A148" s="113">
        <v>46169</v>
      </c>
      <c r="B148" s="114" t="s">
        <v>13</v>
      </c>
      <c r="C148" s="114">
        <v>5</v>
      </c>
      <c r="D148" s="114" t="s">
        <v>55</v>
      </c>
      <c r="E148" s="114">
        <v>22</v>
      </c>
      <c r="F148" s="114" t="s">
        <v>33</v>
      </c>
      <c r="G148" s="120">
        <v>65.5</v>
      </c>
      <c r="H148" s="120">
        <v>120.5</v>
      </c>
      <c r="I148" s="120">
        <v>80.5</v>
      </c>
      <c r="J148" s="120">
        <v>15.5</v>
      </c>
      <c r="K148" s="120">
        <v>60.5</v>
      </c>
      <c r="L148" s="116">
        <f t="shared" si="4"/>
        <v>342.5</v>
      </c>
      <c r="M148" s="116">
        <v>300</v>
      </c>
      <c r="N148" s="116">
        <f t="shared" si="5"/>
        <v>42.5</v>
      </c>
    </row>
    <row r="149" ht="22.5" customHeight="1" spans="1:14">
      <c r="A149" s="113">
        <v>46170</v>
      </c>
      <c r="B149" s="114" t="s">
        <v>13</v>
      </c>
      <c r="C149" s="114">
        <v>5</v>
      </c>
      <c r="D149" s="114" t="s">
        <v>55</v>
      </c>
      <c r="E149" s="114">
        <v>22</v>
      </c>
      <c r="F149" s="114" t="s">
        <v>34</v>
      </c>
      <c r="G149" s="120">
        <v>45.5</v>
      </c>
      <c r="H149" s="120">
        <v>180.5</v>
      </c>
      <c r="I149" s="120">
        <v>45.5</v>
      </c>
      <c r="J149" s="120">
        <v>0</v>
      </c>
      <c r="K149" s="120">
        <v>90.5</v>
      </c>
      <c r="L149" s="116">
        <f t="shared" si="4"/>
        <v>362</v>
      </c>
      <c r="M149" s="116">
        <v>300</v>
      </c>
      <c r="N149" s="116">
        <f t="shared" si="5"/>
        <v>62</v>
      </c>
    </row>
    <row r="150" ht="22.5" customHeight="1" spans="1:14">
      <c r="A150" s="113">
        <v>46171</v>
      </c>
      <c r="B150" s="114" t="s">
        <v>13</v>
      </c>
      <c r="C150" s="114">
        <v>5</v>
      </c>
      <c r="D150" s="114" t="s">
        <v>55</v>
      </c>
      <c r="E150" s="114">
        <v>22</v>
      </c>
      <c r="F150" s="114" t="s">
        <v>35</v>
      </c>
      <c r="G150" s="120">
        <v>57.5</v>
      </c>
      <c r="H150" s="120">
        <v>170.5</v>
      </c>
      <c r="I150" s="120">
        <v>0</v>
      </c>
      <c r="J150" s="120">
        <v>0</v>
      </c>
      <c r="K150" s="120">
        <v>65.5</v>
      </c>
      <c r="L150" s="116">
        <f t="shared" si="4"/>
        <v>293.5</v>
      </c>
      <c r="M150" s="116">
        <v>300</v>
      </c>
      <c r="N150" s="116">
        <f t="shared" si="5"/>
        <v>-6.5</v>
      </c>
    </row>
    <row r="151" ht="22.5" customHeight="1" spans="1:14">
      <c r="A151" s="113">
        <v>46172</v>
      </c>
      <c r="B151" s="114" t="s">
        <v>13</v>
      </c>
      <c r="C151" s="114">
        <v>5</v>
      </c>
      <c r="D151" s="114" t="s">
        <v>55</v>
      </c>
      <c r="E151" s="114">
        <v>22</v>
      </c>
      <c r="F151" s="114" t="s">
        <v>36</v>
      </c>
      <c r="G151" s="115">
        <v>0</v>
      </c>
      <c r="H151" s="115">
        <v>0</v>
      </c>
      <c r="I151" s="115">
        <v>0</v>
      </c>
      <c r="J151" s="115">
        <v>0</v>
      </c>
      <c r="K151" s="115">
        <v>0</v>
      </c>
      <c r="L151" s="116">
        <f t="shared" si="4"/>
        <v>0</v>
      </c>
      <c r="M151" s="116">
        <v>300</v>
      </c>
      <c r="N151" s="116">
        <f t="shared" si="5"/>
        <v>0</v>
      </c>
    </row>
    <row r="152" ht="22.5" customHeight="1" spans="1:14">
      <c r="A152" s="113">
        <v>46173</v>
      </c>
      <c r="B152" s="114" t="s">
        <v>13</v>
      </c>
      <c r="C152" s="114">
        <v>5</v>
      </c>
      <c r="D152" s="114" t="s">
        <v>55</v>
      </c>
      <c r="E152" s="114">
        <v>23</v>
      </c>
      <c r="F152" s="114" t="s">
        <v>30</v>
      </c>
      <c r="G152" s="115">
        <v>0</v>
      </c>
      <c r="H152" s="115">
        <v>0</v>
      </c>
      <c r="I152" s="115">
        <v>0</v>
      </c>
      <c r="J152" s="115">
        <v>0</v>
      </c>
      <c r="K152" s="115">
        <v>0</v>
      </c>
      <c r="L152" s="116">
        <f t="shared" si="4"/>
        <v>0</v>
      </c>
      <c r="M152" s="116">
        <v>300</v>
      </c>
      <c r="N152" s="116">
        <f t="shared" si="5"/>
        <v>0</v>
      </c>
    </row>
    <row r="153" ht="22.5" customHeight="1" spans="1:14">
      <c r="A153" s="113">
        <v>46174</v>
      </c>
      <c r="B153" s="114" t="s">
        <v>14</v>
      </c>
      <c r="C153" s="114">
        <v>6</v>
      </c>
      <c r="D153" s="114" t="s">
        <v>55</v>
      </c>
      <c r="E153" s="114">
        <v>23</v>
      </c>
      <c r="F153" s="114" t="s">
        <v>31</v>
      </c>
      <c r="G153" s="120">
        <v>0</v>
      </c>
      <c r="H153" s="120">
        <v>180.5</v>
      </c>
      <c r="I153" s="120">
        <v>65.5</v>
      </c>
      <c r="J153" s="120">
        <v>0</v>
      </c>
      <c r="K153" s="120">
        <v>65.5</v>
      </c>
      <c r="L153" s="116">
        <f t="shared" si="4"/>
        <v>311.5</v>
      </c>
      <c r="M153" s="116">
        <v>300</v>
      </c>
      <c r="N153" s="116">
        <f t="shared" si="5"/>
        <v>11.5</v>
      </c>
    </row>
    <row r="154" ht="22.5" customHeight="1" spans="1:14">
      <c r="A154" s="113">
        <v>46175</v>
      </c>
      <c r="B154" s="114" t="s">
        <v>14</v>
      </c>
      <c r="C154" s="114">
        <v>6</v>
      </c>
      <c r="D154" s="114" t="s">
        <v>55</v>
      </c>
      <c r="E154" s="114">
        <v>23</v>
      </c>
      <c r="F154" s="114" t="s">
        <v>32</v>
      </c>
      <c r="G154" s="120">
        <v>75.5</v>
      </c>
      <c r="H154" s="120">
        <v>0</v>
      </c>
      <c r="I154" s="120">
        <v>80.5</v>
      </c>
      <c r="J154" s="120">
        <v>0</v>
      </c>
      <c r="K154" s="120">
        <v>40.5</v>
      </c>
      <c r="L154" s="116">
        <f t="shared" si="4"/>
        <v>196.5</v>
      </c>
      <c r="M154" s="116">
        <v>300</v>
      </c>
      <c r="N154" s="116">
        <f t="shared" si="5"/>
        <v>-103.5</v>
      </c>
    </row>
    <row r="155" ht="22.5" customHeight="1" spans="1:14">
      <c r="A155" s="113">
        <v>46176</v>
      </c>
      <c r="B155" s="114" t="s">
        <v>14</v>
      </c>
      <c r="C155" s="114">
        <v>6</v>
      </c>
      <c r="D155" s="114" t="s">
        <v>55</v>
      </c>
      <c r="E155" s="114">
        <v>23</v>
      </c>
      <c r="F155" s="114" t="s">
        <v>33</v>
      </c>
      <c r="G155" s="120">
        <v>50.5</v>
      </c>
      <c r="H155" s="120">
        <v>125.5</v>
      </c>
      <c r="I155" s="120">
        <v>0</v>
      </c>
      <c r="J155" s="120">
        <v>20.5</v>
      </c>
      <c r="K155" s="120">
        <v>30.5</v>
      </c>
      <c r="L155" s="116">
        <f t="shared" si="4"/>
        <v>227</v>
      </c>
      <c r="M155" s="116">
        <v>300</v>
      </c>
      <c r="N155" s="116">
        <f t="shared" si="5"/>
        <v>-73</v>
      </c>
    </row>
    <row r="156" ht="22.5" customHeight="1" spans="1:14">
      <c r="A156" s="113">
        <v>46177</v>
      </c>
      <c r="B156" s="114" t="s">
        <v>14</v>
      </c>
      <c r="C156" s="114">
        <v>6</v>
      </c>
      <c r="D156" s="114" t="s">
        <v>55</v>
      </c>
      <c r="E156" s="114">
        <v>23</v>
      </c>
      <c r="F156" s="114" t="s">
        <v>34</v>
      </c>
      <c r="G156" s="120">
        <v>95.5</v>
      </c>
      <c r="H156" s="120">
        <v>195.5</v>
      </c>
      <c r="I156" s="120">
        <v>65.5</v>
      </c>
      <c r="J156" s="120">
        <v>0</v>
      </c>
      <c r="K156" s="120">
        <v>100.5</v>
      </c>
      <c r="L156" s="116">
        <f t="shared" si="4"/>
        <v>457</v>
      </c>
      <c r="M156" s="116">
        <v>300</v>
      </c>
      <c r="N156" s="116">
        <f t="shared" si="5"/>
        <v>157</v>
      </c>
    </row>
    <row r="157" ht="22.5" customHeight="1" spans="1:14">
      <c r="A157" s="113">
        <v>46178</v>
      </c>
      <c r="B157" s="114" t="s">
        <v>14</v>
      </c>
      <c r="C157" s="114">
        <v>6</v>
      </c>
      <c r="D157" s="114" t="s">
        <v>55</v>
      </c>
      <c r="E157" s="114">
        <v>23</v>
      </c>
      <c r="F157" s="114" t="s">
        <v>35</v>
      </c>
      <c r="G157" s="120">
        <v>100.5</v>
      </c>
      <c r="H157" s="120">
        <v>150.5</v>
      </c>
      <c r="I157" s="120">
        <v>130.5</v>
      </c>
      <c r="J157" s="120">
        <v>30.5</v>
      </c>
      <c r="K157" s="120">
        <v>0</v>
      </c>
      <c r="L157" s="116">
        <f t="shared" si="4"/>
        <v>412</v>
      </c>
      <c r="M157" s="116">
        <v>300</v>
      </c>
      <c r="N157" s="116">
        <f t="shared" si="5"/>
        <v>112</v>
      </c>
    </row>
    <row r="158" ht="22.5" customHeight="1" spans="1:14">
      <c r="A158" s="113">
        <v>46179</v>
      </c>
      <c r="B158" s="114" t="s">
        <v>14</v>
      </c>
      <c r="C158" s="114">
        <v>6</v>
      </c>
      <c r="D158" s="114" t="s">
        <v>55</v>
      </c>
      <c r="E158" s="114">
        <v>23</v>
      </c>
      <c r="F158" s="114" t="s">
        <v>36</v>
      </c>
      <c r="G158" s="115">
        <v>0</v>
      </c>
      <c r="H158" s="115">
        <v>0</v>
      </c>
      <c r="I158" s="115">
        <v>0</v>
      </c>
      <c r="J158" s="115">
        <v>0</v>
      </c>
      <c r="K158" s="115">
        <v>0</v>
      </c>
      <c r="L158" s="116">
        <f t="shared" si="4"/>
        <v>0</v>
      </c>
      <c r="M158" s="116">
        <v>300</v>
      </c>
      <c r="N158" s="116">
        <f t="shared" si="5"/>
        <v>0</v>
      </c>
    </row>
    <row r="159" ht="22.5" customHeight="1" spans="1:14">
      <c r="A159" s="113">
        <v>46180</v>
      </c>
      <c r="B159" s="114" t="s">
        <v>14</v>
      </c>
      <c r="C159" s="114">
        <v>6</v>
      </c>
      <c r="D159" s="114" t="s">
        <v>55</v>
      </c>
      <c r="E159" s="114">
        <v>24</v>
      </c>
      <c r="F159" s="114" t="s">
        <v>30</v>
      </c>
      <c r="G159" s="115">
        <v>0</v>
      </c>
      <c r="H159" s="115">
        <v>0</v>
      </c>
      <c r="I159" s="115">
        <v>0</v>
      </c>
      <c r="J159" s="115">
        <v>0</v>
      </c>
      <c r="K159" s="115">
        <v>0</v>
      </c>
      <c r="L159" s="116">
        <f t="shared" si="4"/>
        <v>0</v>
      </c>
      <c r="M159" s="116">
        <v>300</v>
      </c>
      <c r="N159" s="116">
        <f t="shared" si="5"/>
        <v>0</v>
      </c>
    </row>
    <row r="160" ht="22.5" customHeight="1" spans="1:14">
      <c r="A160" s="113">
        <v>46181</v>
      </c>
      <c r="B160" s="114" t="s">
        <v>14</v>
      </c>
      <c r="C160" s="114">
        <v>6</v>
      </c>
      <c r="D160" s="114" t="s">
        <v>55</v>
      </c>
      <c r="E160" s="114">
        <v>24</v>
      </c>
      <c r="F160" s="114" t="s">
        <v>31</v>
      </c>
      <c r="G160" s="120">
        <v>0</v>
      </c>
      <c r="H160" s="120">
        <v>160.5</v>
      </c>
      <c r="I160" s="120">
        <v>60.5</v>
      </c>
      <c r="J160" s="120">
        <v>0</v>
      </c>
      <c r="K160" s="120">
        <v>100.5</v>
      </c>
      <c r="L160" s="116">
        <f t="shared" si="4"/>
        <v>321.5</v>
      </c>
      <c r="M160" s="116">
        <v>300</v>
      </c>
      <c r="N160" s="116">
        <f t="shared" si="5"/>
        <v>21.5</v>
      </c>
    </row>
    <row r="161" ht="22.5" customHeight="1" spans="1:14">
      <c r="A161" s="113">
        <v>46182</v>
      </c>
      <c r="B161" s="114" t="s">
        <v>14</v>
      </c>
      <c r="C161" s="114">
        <v>6</v>
      </c>
      <c r="D161" s="114" t="s">
        <v>55</v>
      </c>
      <c r="E161" s="114">
        <v>24</v>
      </c>
      <c r="F161" s="114" t="s">
        <v>32</v>
      </c>
      <c r="G161" s="120">
        <v>110.5</v>
      </c>
      <c r="H161" s="120">
        <v>200.5</v>
      </c>
      <c r="I161" s="120">
        <v>105.5</v>
      </c>
      <c r="J161" s="120">
        <v>10.5</v>
      </c>
      <c r="K161" s="120">
        <v>0</v>
      </c>
      <c r="L161" s="116">
        <f t="shared" si="4"/>
        <v>427</v>
      </c>
      <c r="M161" s="116">
        <v>300</v>
      </c>
      <c r="N161" s="116">
        <f t="shared" si="5"/>
        <v>127</v>
      </c>
    </row>
    <row r="162" ht="22.5" customHeight="1" spans="1:14">
      <c r="A162" s="113">
        <v>46183</v>
      </c>
      <c r="B162" s="114" t="s">
        <v>14</v>
      </c>
      <c r="C162" s="114">
        <v>6</v>
      </c>
      <c r="D162" s="114" t="s">
        <v>55</v>
      </c>
      <c r="E162" s="114">
        <v>24</v>
      </c>
      <c r="F162" s="114" t="s">
        <v>33</v>
      </c>
      <c r="G162" s="120">
        <v>60.5</v>
      </c>
      <c r="H162" s="120">
        <v>215.5</v>
      </c>
      <c r="I162" s="120">
        <v>0</v>
      </c>
      <c r="J162" s="120">
        <v>20.5</v>
      </c>
      <c r="K162" s="120">
        <v>30.5</v>
      </c>
      <c r="L162" s="116">
        <f t="shared" si="4"/>
        <v>327</v>
      </c>
      <c r="M162" s="116">
        <v>300</v>
      </c>
      <c r="N162" s="116">
        <f t="shared" si="5"/>
        <v>27</v>
      </c>
    </row>
    <row r="163" ht="22.5" customHeight="1" spans="1:14">
      <c r="A163" s="113">
        <v>46184</v>
      </c>
      <c r="B163" s="114" t="s">
        <v>14</v>
      </c>
      <c r="C163" s="114">
        <v>6</v>
      </c>
      <c r="D163" s="114" t="s">
        <v>55</v>
      </c>
      <c r="E163" s="114">
        <v>24</v>
      </c>
      <c r="F163" s="114" t="s">
        <v>34</v>
      </c>
      <c r="G163" s="120">
        <v>50.5</v>
      </c>
      <c r="H163" s="120">
        <v>140.5</v>
      </c>
      <c r="I163" s="120">
        <v>90.5</v>
      </c>
      <c r="J163" s="120">
        <v>30.5</v>
      </c>
      <c r="K163" s="120">
        <v>30.5</v>
      </c>
      <c r="L163" s="116">
        <f t="shared" si="4"/>
        <v>342.5</v>
      </c>
      <c r="M163" s="116">
        <v>300</v>
      </c>
      <c r="N163" s="116">
        <f t="shared" si="5"/>
        <v>42.5</v>
      </c>
    </row>
    <row r="164" ht="22.5" customHeight="1" spans="1:14">
      <c r="A164" s="113">
        <v>46185</v>
      </c>
      <c r="B164" s="114" t="s">
        <v>14</v>
      </c>
      <c r="C164" s="114">
        <v>6</v>
      </c>
      <c r="D164" s="114" t="s">
        <v>55</v>
      </c>
      <c r="E164" s="114">
        <v>24</v>
      </c>
      <c r="F164" s="114" t="s">
        <v>35</v>
      </c>
      <c r="G164" s="120">
        <v>70.5</v>
      </c>
      <c r="H164" s="120">
        <v>0</v>
      </c>
      <c r="I164" s="120">
        <v>0</v>
      </c>
      <c r="J164" s="120">
        <v>15.5</v>
      </c>
      <c r="K164" s="120">
        <v>0</v>
      </c>
      <c r="L164" s="116">
        <f t="shared" si="4"/>
        <v>86</v>
      </c>
      <c r="M164" s="116">
        <v>300</v>
      </c>
      <c r="N164" s="116">
        <f t="shared" si="5"/>
        <v>-214</v>
      </c>
    </row>
    <row r="165" ht="22.5" customHeight="1" spans="1:14">
      <c r="A165" s="113">
        <v>46186</v>
      </c>
      <c r="B165" s="114" t="s">
        <v>14</v>
      </c>
      <c r="C165" s="114">
        <v>6</v>
      </c>
      <c r="D165" s="114" t="s">
        <v>55</v>
      </c>
      <c r="E165" s="114">
        <v>24</v>
      </c>
      <c r="F165" s="114" t="s">
        <v>36</v>
      </c>
      <c r="G165" s="115">
        <v>0</v>
      </c>
      <c r="H165" s="115">
        <v>0</v>
      </c>
      <c r="I165" s="115">
        <v>0</v>
      </c>
      <c r="J165" s="115">
        <v>0</v>
      </c>
      <c r="K165" s="115">
        <v>0</v>
      </c>
      <c r="L165" s="116">
        <f t="shared" si="4"/>
        <v>0</v>
      </c>
      <c r="M165" s="116">
        <v>300</v>
      </c>
      <c r="N165" s="116">
        <f t="shared" si="5"/>
        <v>0</v>
      </c>
    </row>
    <row r="166" ht="22.5" customHeight="1" spans="1:14">
      <c r="A166" s="113">
        <v>46187</v>
      </c>
      <c r="B166" s="114" t="s">
        <v>14</v>
      </c>
      <c r="C166" s="114">
        <v>6</v>
      </c>
      <c r="D166" s="114" t="s">
        <v>55</v>
      </c>
      <c r="E166" s="114">
        <v>25</v>
      </c>
      <c r="F166" s="114" t="s">
        <v>30</v>
      </c>
      <c r="G166" s="115">
        <v>0</v>
      </c>
      <c r="H166" s="115">
        <v>0</v>
      </c>
      <c r="I166" s="115">
        <v>0</v>
      </c>
      <c r="J166" s="115">
        <v>0</v>
      </c>
      <c r="K166" s="115">
        <v>0</v>
      </c>
      <c r="L166" s="116">
        <f t="shared" si="4"/>
        <v>0</v>
      </c>
      <c r="M166" s="116">
        <v>300</v>
      </c>
      <c r="N166" s="116">
        <f t="shared" si="5"/>
        <v>0</v>
      </c>
    </row>
    <row r="167" ht="22.5" customHeight="1" spans="1:14">
      <c r="A167" s="113">
        <v>46188</v>
      </c>
      <c r="B167" s="114" t="s">
        <v>14</v>
      </c>
      <c r="C167" s="114">
        <v>6</v>
      </c>
      <c r="D167" s="114" t="s">
        <v>55</v>
      </c>
      <c r="E167" s="114">
        <v>25</v>
      </c>
      <c r="F167" s="114" t="s">
        <v>31</v>
      </c>
      <c r="G167" s="120">
        <v>65.5</v>
      </c>
      <c r="H167" s="120">
        <v>0</v>
      </c>
      <c r="I167" s="120">
        <v>60.5</v>
      </c>
      <c r="J167" s="120">
        <v>25.5</v>
      </c>
      <c r="K167" s="120">
        <v>30.5</v>
      </c>
      <c r="L167" s="116">
        <f t="shared" si="4"/>
        <v>182</v>
      </c>
      <c r="M167" s="116">
        <v>300</v>
      </c>
      <c r="N167" s="116">
        <f t="shared" si="5"/>
        <v>-118</v>
      </c>
    </row>
    <row r="168" ht="22.5" customHeight="1" spans="1:14">
      <c r="A168" s="113">
        <v>46189</v>
      </c>
      <c r="B168" s="114" t="s">
        <v>14</v>
      </c>
      <c r="C168" s="114">
        <v>6</v>
      </c>
      <c r="D168" s="114" t="s">
        <v>55</v>
      </c>
      <c r="E168" s="114">
        <v>25</v>
      </c>
      <c r="F168" s="114" t="s">
        <v>32</v>
      </c>
      <c r="G168" s="120">
        <v>70.5</v>
      </c>
      <c r="H168" s="120">
        <v>150.5</v>
      </c>
      <c r="I168" s="120">
        <v>105.5</v>
      </c>
      <c r="J168" s="120">
        <v>15.5</v>
      </c>
      <c r="K168" s="120">
        <v>40.5</v>
      </c>
      <c r="L168" s="116">
        <f t="shared" si="4"/>
        <v>382.5</v>
      </c>
      <c r="M168" s="116">
        <v>300</v>
      </c>
      <c r="N168" s="116">
        <f t="shared" si="5"/>
        <v>82.5</v>
      </c>
    </row>
    <row r="169" ht="22.5" customHeight="1" spans="1:14">
      <c r="A169" s="113">
        <v>46190</v>
      </c>
      <c r="B169" s="114" t="s">
        <v>14</v>
      </c>
      <c r="C169" s="114">
        <v>6</v>
      </c>
      <c r="D169" s="114" t="s">
        <v>55</v>
      </c>
      <c r="E169" s="114">
        <v>25</v>
      </c>
      <c r="F169" s="114" t="s">
        <v>33</v>
      </c>
      <c r="G169" s="120">
        <v>80.5</v>
      </c>
      <c r="H169" s="120">
        <v>190.5</v>
      </c>
      <c r="I169" s="120">
        <v>55.5</v>
      </c>
      <c r="J169" s="120">
        <v>0</v>
      </c>
      <c r="K169" s="120">
        <v>0</v>
      </c>
      <c r="L169" s="116">
        <f t="shared" si="4"/>
        <v>326.5</v>
      </c>
      <c r="M169" s="116">
        <v>300</v>
      </c>
      <c r="N169" s="116">
        <f t="shared" si="5"/>
        <v>26.5</v>
      </c>
    </row>
    <row r="170" ht="22.5" customHeight="1" spans="1:14">
      <c r="A170" s="113">
        <v>46191</v>
      </c>
      <c r="B170" s="114" t="s">
        <v>14</v>
      </c>
      <c r="C170" s="114">
        <v>6</v>
      </c>
      <c r="D170" s="114" t="s">
        <v>55</v>
      </c>
      <c r="E170" s="114">
        <v>25</v>
      </c>
      <c r="F170" s="114" t="s">
        <v>34</v>
      </c>
      <c r="G170" s="120">
        <v>0</v>
      </c>
      <c r="H170" s="120">
        <v>0</v>
      </c>
      <c r="I170" s="120">
        <v>0</v>
      </c>
      <c r="J170" s="120">
        <v>0</v>
      </c>
      <c r="K170" s="120">
        <v>0</v>
      </c>
      <c r="L170" s="116">
        <f t="shared" si="4"/>
        <v>0</v>
      </c>
      <c r="M170" s="116">
        <v>300</v>
      </c>
      <c r="N170" s="116">
        <f t="shared" si="5"/>
        <v>0</v>
      </c>
    </row>
    <row r="171" ht="22.5" customHeight="1" spans="1:14">
      <c r="A171" s="113">
        <v>46192</v>
      </c>
      <c r="B171" s="114" t="s">
        <v>14</v>
      </c>
      <c r="C171" s="114">
        <v>6</v>
      </c>
      <c r="D171" s="114" t="s">
        <v>55</v>
      </c>
      <c r="E171" s="114">
        <v>25</v>
      </c>
      <c r="F171" s="114" t="s">
        <v>35</v>
      </c>
      <c r="G171" s="120">
        <v>125.5</v>
      </c>
      <c r="H171" s="120">
        <v>185.5</v>
      </c>
      <c r="I171" s="120">
        <v>160.5</v>
      </c>
      <c r="J171" s="120">
        <v>30.5</v>
      </c>
      <c r="K171" s="120">
        <v>100.5</v>
      </c>
      <c r="L171" s="116">
        <f t="shared" si="4"/>
        <v>602.5</v>
      </c>
      <c r="M171" s="116">
        <v>300</v>
      </c>
      <c r="N171" s="116">
        <f t="shared" si="5"/>
        <v>302.5</v>
      </c>
    </row>
    <row r="172" ht="22.5" customHeight="1" spans="1:14">
      <c r="A172" s="113">
        <v>46193</v>
      </c>
      <c r="B172" s="114" t="s">
        <v>14</v>
      </c>
      <c r="C172" s="114">
        <v>6</v>
      </c>
      <c r="D172" s="114" t="s">
        <v>55</v>
      </c>
      <c r="E172" s="114">
        <v>25</v>
      </c>
      <c r="F172" s="114" t="s">
        <v>36</v>
      </c>
      <c r="G172" s="115">
        <v>0</v>
      </c>
      <c r="H172" s="115">
        <v>0</v>
      </c>
      <c r="I172" s="115">
        <v>0</v>
      </c>
      <c r="J172" s="115">
        <v>0</v>
      </c>
      <c r="K172" s="115">
        <v>0</v>
      </c>
      <c r="L172" s="116">
        <f t="shared" si="4"/>
        <v>0</v>
      </c>
      <c r="M172" s="116">
        <v>300</v>
      </c>
      <c r="N172" s="116">
        <f t="shared" si="5"/>
        <v>0</v>
      </c>
    </row>
    <row r="173" ht="22.5" customHeight="1" spans="1:14">
      <c r="A173" s="113">
        <v>46194</v>
      </c>
      <c r="B173" s="114" t="s">
        <v>14</v>
      </c>
      <c r="C173" s="114">
        <v>6</v>
      </c>
      <c r="D173" s="114" t="s">
        <v>55</v>
      </c>
      <c r="E173" s="114">
        <v>26</v>
      </c>
      <c r="F173" s="114" t="s">
        <v>30</v>
      </c>
      <c r="G173" s="115">
        <v>0</v>
      </c>
      <c r="H173" s="115">
        <v>0</v>
      </c>
      <c r="I173" s="115">
        <v>0</v>
      </c>
      <c r="J173" s="115">
        <v>0</v>
      </c>
      <c r="K173" s="115">
        <v>0</v>
      </c>
      <c r="L173" s="116">
        <f t="shared" si="4"/>
        <v>0</v>
      </c>
      <c r="M173" s="116">
        <v>300</v>
      </c>
      <c r="N173" s="116">
        <f t="shared" si="5"/>
        <v>0</v>
      </c>
    </row>
    <row r="174" ht="22.5" customHeight="1" spans="1:14">
      <c r="A174" s="113">
        <v>46195</v>
      </c>
      <c r="B174" s="114" t="s">
        <v>14</v>
      </c>
      <c r="C174" s="114">
        <v>6</v>
      </c>
      <c r="D174" s="114" t="s">
        <v>55</v>
      </c>
      <c r="E174" s="114">
        <v>26</v>
      </c>
      <c r="F174" s="114" t="s">
        <v>31</v>
      </c>
      <c r="G174" s="120">
        <v>0</v>
      </c>
      <c r="H174" s="120">
        <v>110.5</v>
      </c>
      <c r="I174" s="120">
        <v>85.5</v>
      </c>
      <c r="J174" s="120">
        <v>10.5</v>
      </c>
      <c r="K174" s="120">
        <v>0</v>
      </c>
      <c r="L174" s="116">
        <f t="shared" si="4"/>
        <v>206.5</v>
      </c>
      <c r="M174" s="116">
        <v>300</v>
      </c>
      <c r="N174" s="116">
        <f t="shared" si="5"/>
        <v>-93.5</v>
      </c>
    </row>
    <row r="175" ht="22.5" customHeight="1" spans="1:14">
      <c r="A175" s="113">
        <v>46196</v>
      </c>
      <c r="B175" s="114" t="s">
        <v>14</v>
      </c>
      <c r="C175" s="114">
        <v>6</v>
      </c>
      <c r="D175" s="114" t="s">
        <v>55</v>
      </c>
      <c r="E175" s="114">
        <v>26</v>
      </c>
      <c r="F175" s="114" t="s">
        <v>32</v>
      </c>
      <c r="G175" s="120">
        <v>0</v>
      </c>
      <c r="H175" s="120">
        <v>125.5</v>
      </c>
      <c r="I175" s="120">
        <v>55.5</v>
      </c>
      <c r="J175" s="120">
        <v>0</v>
      </c>
      <c r="K175" s="120">
        <v>80.5</v>
      </c>
      <c r="L175" s="116">
        <f t="shared" si="4"/>
        <v>261.5</v>
      </c>
      <c r="M175" s="116">
        <v>300</v>
      </c>
      <c r="N175" s="116">
        <f t="shared" si="5"/>
        <v>-38.5</v>
      </c>
    </row>
    <row r="176" ht="22.5" customHeight="1" spans="1:14">
      <c r="A176" s="113">
        <v>46197</v>
      </c>
      <c r="B176" s="114" t="s">
        <v>14</v>
      </c>
      <c r="C176" s="114">
        <v>6</v>
      </c>
      <c r="D176" s="114" t="s">
        <v>55</v>
      </c>
      <c r="E176" s="114">
        <v>26</v>
      </c>
      <c r="F176" s="114" t="s">
        <v>33</v>
      </c>
      <c r="G176" s="120">
        <v>0</v>
      </c>
      <c r="H176" s="120">
        <v>0</v>
      </c>
      <c r="I176" s="120">
        <v>0</v>
      </c>
      <c r="J176" s="120">
        <v>0</v>
      </c>
      <c r="K176" s="120">
        <v>0</v>
      </c>
      <c r="L176" s="116">
        <f t="shared" si="4"/>
        <v>0</v>
      </c>
      <c r="M176" s="116">
        <v>300</v>
      </c>
      <c r="N176" s="116">
        <f t="shared" si="5"/>
        <v>0</v>
      </c>
    </row>
    <row r="177" ht="22.5" customHeight="1" spans="1:14">
      <c r="A177" s="113">
        <v>46198</v>
      </c>
      <c r="B177" s="114" t="s">
        <v>14</v>
      </c>
      <c r="C177" s="114">
        <v>6</v>
      </c>
      <c r="D177" s="114" t="s">
        <v>55</v>
      </c>
      <c r="E177" s="114">
        <v>26</v>
      </c>
      <c r="F177" s="114" t="s">
        <v>34</v>
      </c>
      <c r="G177" s="120">
        <v>0</v>
      </c>
      <c r="H177" s="120">
        <v>145.5</v>
      </c>
      <c r="I177" s="120">
        <v>85.5</v>
      </c>
      <c r="J177" s="120">
        <v>10.5</v>
      </c>
      <c r="K177" s="120">
        <v>80.5</v>
      </c>
      <c r="L177" s="116">
        <f t="shared" si="4"/>
        <v>322</v>
      </c>
      <c r="M177" s="116">
        <v>300</v>
      </c>
      <c r="N177" s="116">
        <f t="shared" si="5"/>
        <v>22</v>
      </c>
    </row>
    <row r="178" ht="22.5" customHeight="1" spans="1:14">
      <c r="A178" s="113">
        <v>46199</v>
      </c>
      <c r="B178" s="114" t="s">
        <v>14</v>
      </c>
      <c r="C178" s="114">
        <v>6</v>
      </c>
      <c r="D178" s="114" t="s">
        <v>55</v>
      </c>
      <c r="E178" s="114">
        <v>26</v>
      </c>
      <c r="F178" s="114" t="s">
        <v>35</v>
      </c>
      <c r="G178" s="120">
        <v>0</v>
      </c>
      <c r="H178" s="120">
        <v>270.5</v>
      </c>
      <c r="I178" s="120">
        <v>85.5</v>
      </c>
      <c r="J178" s="120">
        <v>30.5</v>
      </c>
      <c r="K178" s="120">
        <v>100.5</v>
      </c>
      <c r="L178" s="116">
        <f t="shared" si="4"/>
        <v>487</v>
      </c>
      <c r="M178" s="116">
        <v>300</v>
      </c>
      <c r="N178" s="116">
        <f t="shared" si="5"/>
        <v>187</v>
      </c>
    </row>
    <row r="179" ht="22.5" customHeight="1" spans="1:14">
      <c r="A179" s="113">
        <v>46200</v>
      </c>
      <c r="B179" s="114" t="s">
        <v>14</v>
      </c>
      <c r="C179" s="114">
        <v>6</v>
      </c>
      <c r="D179" s="114" t="s">
        <v>55</v>
      </c>
      <c r="E179" s="114">
        <v>26</v>
      </c>
      <c r="F179" s="114" t="s">
        <v>36</v>
      </c>
      <c r="G179" s="115">
        <v>0</v>
      </c>
      <c r="H179" s="115">
        <v>0</v>
      </c>
      <c r="I179" s="115">
        <v>0</v>
      </c>
      <c r="J179" s="115">
        <v>0</v>
      </c>
      <c r="K179" s="115">
        <v>0</v>
      </c>
      <c r="L179" s="116">
        <f t="shared" si="4"/>
        <v>0</v>
      </c>
      <c r="M179" s="116">
        <v>300</v>
      </c>
      <c r="N179" s="116">
        <f t="shared" si="5"/>
        <v>0</v>
      </c>
    </row>
    <row r="180" ht="22.5" customHeight="1" spans="1:14">
      <c r="A180" s="113">
        <v>46201</v>
      </c>
      <c r="B180" s="114" t="s">
        <v>14</v>
      </c>
      <c r="C180" s="114">
        <v>6</v>
      </c>
      <c r="D180" s="114" t="s">
        <v>55</v>
      </c>
      <c r="E180" s="114">
        <v>27</v>
      </c>
      <c r="F180" s="114" t="s">
        <v>30</v>
      </c>
      <c r="G180" s="115">
        <v>0</v>
      </c>
      <c r="H180" s="115">
        <v>0</v>
      </c>
      <c r="I180" s="115">
        <v>0</v>
      </c>
      <c r="J180" s="115">
        <v>0</v>
      </c>
      <c r="K180" s="115">
        <v>0</v>
      </c>
      <c r="L180" s="116">
        <f t="shared" si="4"/>
        <v>0</v>
      </c>
      <c r="M180" s="116">
        <v>300</v>
      </c>
      <c r="N180" s="116">
        <f t="shared" si="5"/>
        <v>0</v>
      </c>
    </row>
    <row r="181" ht="22.5" customHeight="1" spans="1:14">
      <c r="A181" s="113">
        <v>46202</v>
      </c>
      <c r="B181" s="114" t="s">
        <v>14</v>
      </c>
      <c r="C181" s="114">
        <v>6</v>
      </c>
      <c r="D181" s="114" t="s">
        <v>55</v>
      </c>
      <c r="E181" s="114">
        <v>27</v>
      </c>
      <c r="F181" s="114" t="s">
        <v>31</v>
      </c>
      <c r="G181" s="120">
        <v>75.5</v>
      </c>
      <c r="H181" s="120">
        <v>175.5</v>
      </c>
      <c r="I181" s="120">
        <v>0</v>
      </c>
      <c r="J181" s="120">
        <v>0</v>
      </c>
      <c r="K181" s="120">
        <v>65.5</v>
      </c>
      <c r="L181" s="116">
        <f t="shared" si="4"/>
        <v>316.5</v>
      </c>
      <c r="M181" s="116">
        <v>300</v>
      </c>
      <c r="N181" s="116">
        <f t="shared" si="5"/>
        <v>16.5</v>
      </c>
    </row>
    <row r="182" ht="22.5" customHeight="1" spans="1:14">
      <c r="A182" s="113">
        <v>46203</v>
      </c>
      <c r="B182" s="114" t="s">
        <v>14</v>
      </c>
      <c r="C182" s="114">
        <v>6</v>
      </c>
      <c r="D182" s="114" t="s">
        <v>55</v>
      </c>
      <c r="E182" s="114">
        <v>27</v>
      </c>
      <c r="F182" s="114" t="s">
        <v>32</v>
      </c>
      <c r="G182" s="120">
        <v>0</v>
      </c>
      <c r="H182" s="120">
        <v>180.5</v>
      </c>
      <c r="I182" s="120">
        <v>0</v>
      </c>
      <c r="J182" s="120">
        <v>10.5</v>
      </c>
      <c r="K182" s="120">
        <v>40.5</v>
      </c>
      <c r="L182" s="116">
        <f t="shared" si="4"/>
        <v>231.5</v>
      </c>
      <c r="M182" s="116">
        <v>300</v>
      </c>
      <c r="N182" s="116">
        <f t="shared" si="5"/>
        <v>-68.5</v>
      </c>
    </row>
    <row r="183" ht="22.5" customHeight="1" spans="1:14">
      <c r="A183" s="113">
        <v>46204</v>
      </c>
      <c r="B183" s="114" t="s">
        <v>15</v>
      </c>
      <c r="C183" s="114">
        <v>7</v>
      </c>
      <c r="D183" s="114" t="s">
        <v>56</v>
      </c>
      <c r="E183" s="114">
        <v>27</v>
      </c>
      <c r="F183" s="114" t="s">
        <v>33</v>
      </c>
      <c r="G183" s="120">
        <v>34.5</v>
      </c>
      <c r="H183" s="120">
        <v>78.5</v>
      </c>
      <c r="I183" s="120">
        <v>0</v>
      </c>
      <c r="J183" s="120">
        <v>0</v>
      </c>
      <c r="K183" s="120">
        <v>80.5</v>
      </c>
      <c r="L183" s="116">
        <f t="shared" si="4"/>
        <v>193.5</v>
      </c>
      <c r="M183" s="116">
        <v>300</v>
      </c>
      <c r="N183" s="116">
        <f t="shared" si="5"/>
        <v>-106.5</v>
      </c>
    </row>
    <row r="184" ht="22.5" customHeight="1" spans="1:14">
      <c r="A184" s="113">
        <v>46205</v>
      </c>
      <c r="B184" s="114" t="s">
        <v>15</v>
      </c>
      <c r="C184" s="114">
        <v>7</v>
      </c>
      <c r="D184" s="114" t="s">
        <v>56</v>
      </c>
      <c r="E184" s="114">
        <v>27</v>
      </c>
      <c r="F184" s="114" t="s">
        <v>34</v>
      </c>
      <c r="G184" s="120">
        <v>95.5</v>
      </c>
      <c r="H184" s="120">
        <v>135.5</v>
      </c>
      <c r="I184" s="120">
        <v>105.5</v>
      </c>
      <c r="J184" s="120">
        <v>10.5</v>
      </c>
      <c r="K184" s="120">
        <v>0</v>
      </c>
      <c r="L184" s="116">
        <f t="shared" si="4"/>
        <v>347</v>
      </c>
      <c r="M184" s="116">
        <v>300</v>
      </c>
      <c r="N184" s="116">
        <f t="shared" si="5"/>
        <v>47</v>
      </c>
    </row>
    <row r="185" ht="22.5" customHeight="1" spans="1:14">
      <c r="A185" s="113">
        <v>46206</v>
      </c>
      <c r="B185" s="114" t="s">
        <v>15</v>
      </c>
      <c r="C185" s="114">
        <v>7</v>
      </c>
      <c r="D185" s="114" t="s">
        <v>56</v>
      </c>
      <c r="E185" s="114">
        <v>27</v>
      </c>
      <c r="F185" s="114" t="s">
        <v>35</v>
      </c>
      <c r="G185" s="120">
        <v>0</v>
      </c>
      <c r="H185" s="120">
        <v>265.5</v>
      </c>
      <c r="I185" s="120">
        <v>160.5</v>
      </c>
      <c r="J185" s="120">
        <v>25.5</v>
      </c>
      <c r="K185" s="120">
        <v>80.5</v>
      </c>
      <c r="L185" s="116">
        <f t="shared" si="4"/>
        <v>532</v>
      </c>
      <c r="M185" s="116">
        <v>300</v>
      </c>
      <c r="N185" s="116">
        <f t="shared" si="5"/>
        <v>232</v>
      </c>
    </row>
    <row r="186" ht="22.5" customHeight="1" spans="1:14">
      <c r="A186" s="113">
        <v>46207</v>
      </c>
      <c r="B186" s="114" t="s">
        <v>15</v>
      </c>
      <c r="C186" s="114">
        <v>7</v>
      </c>
      <c r="D186" s="114" t="s">
        <v>56</v>
      </c>
      <c r="E186" s="114">
        <v>27</v>
      </c>
      <c r="F186" s="114" t="s">
        <v>36</v>
      </c>
      <c r="G186" s="115">
        <v>0</v>
      </c>
      <c r="H186" s="115">
        <v>0</v>
      </c>
      <c r="I186" s="115">
        <v>0</v>
      </c>
      <c r="J186" s="115">
        <v>0</v>
      </c>
      <c r="K186" s="115">
        <v>0</v>
      </c>
      <c r="L186" s="116">
        <f t="shared" si="4"/>
        <v>0</v>
      </c>
      <c r="M186" s="116">
        <v>300</v>
      </c>
      <c r="N186" s="116">
        <f t="shared" si="5"/>
        <v>0</v>
      </c>
    </row>
    <row r="187" ht="22.5" customHeight="1" spans="1:14">
      <c r="A187" s="113">
        <v>46208</v>
      </c>
      <c r="B187" s="114" t="s">
        <v>15</v>
      </c>
      <c r="C187" s="114">
        <v>7</v>
      </c>
      <c r="D187" s="114" t="s">
        <v>56</v>
      </c>
      <c r="E187" s="114">
        <v>28</v>
      </c>
      <c r="F187" s="114" t="s">
        <v>30</v>
      </c>
      <c r="G187" s="115">
        <v>0</v>
      </c>
      <c r="H187" s="115">
        <v>0</v>
      </c>
      <c r="I187" s="115">
        <v>0</v>
      </c>
      <c r="J187" s="115">
        <v>0</v>
      </c>
      <c r="K187" s="115">
        <v>0</v>
      </c>
      <c r="L187" s="116">
        <f t="shared" si="4"/>
        <v>0</v>
      </c>
      <c r="M187" s="116">
        <v>300</v>
      </c>
      <c r="N187" s="116">
        <f t="shared" si="5"/>
        <v>0</v>
      </c>
    </row>
    <row r="188" ht="22.5" customHeight="1" spans="1:14">
      <c r="A188" s="113">
        <v>46209</v>
      </c>
      <c r="B188" s="114" t="s">
        <v>15</v>
      </c>
      <c r="C188" s="114">
        <v>7</v>
      </c>
      <c r="D188" s="114" t="s">
        <v>56</v>
      </c>
      <c r="E188" s="114">
        <v>28</v>
      </c>
      <c r="F188" s="114" t="s">
        <v>31</v>
      </c>
      <c r="G188" s="120">
        <v>70.5</v>
      </c>
      <c r="H188" s="120">
        <v>205.5</v>
      </c>
      <c r="I188" s="120">
        <v>65.5</v>
      </c>
      <c r="J188" s="120">
        <v>15.5</v>
      </c>
      <c r="K188" s="120">
        <v>65.5</v>
      </c>
      <c r="L188" s="116">
        <f t="shared" si="4"/>
        <v>422.5</v>
      </c>
      <c r="M188" s="116">
        <v>300</v>
      </c>
      <c r="N188" s="116">
        <f t="shared" si="5"/>
        <v>122.5</v>
      </c>
    </row>
    <row r="189" ht="22.5" customHeight="1" spans="1:14">
      <c r="A189" s="113">
        <v>46210</v>
      </c>
      <c r="B189" s="114" t="s">
        <v>15</v>
      </c>
      <c r="C189" s="114">
        <v>7</v>
      </c>
      <c r="D189" s="114" t="s">
        <v>56</v>
      </c>
      <c r="E189" s="114">
        <v>28</v>
      </c>
      <c r="F189" s="114" t="s">
        <v>32</v>
      </c>
      <c r="G189" s="120">
        <v>70.5</v>
      </c>
      <c r="H189" s="120">
        <v>230.5</v>
      </c>
      <c r="I189" s="120">
        <v>110.5</v>
      </c>
      <c r="J189" s="120">
        <v>0</v>
      </c>
      <c r="K189" s="120">
        <v>30.5</v>
      </c>
      <c r="L189" s="116">
        <f t="shared" si="4"/>
        <v>442</v>
      </c>
      <c r="M189" s="116">
        <v>300</v>
      </c>
      <c r="N189" s="116">
        <f t="shared" si="5"/>
        <v>142</v>
      </c>
    </row>
    <row r="190" ht="22.5" customHeight="1" spans="1:14">
      <c r="A190" s="113">
        <v>46211</v>
      </c>
      <c r="B190" s="114" t="s">
        <v>15</v>
      </c>
      <c r="C190" s="114">
        <v>7</v>
      </c>
      <c r="D190" s="114" t="s">
        <v>56</v>
      </c>
      <c r="E190" s="114">
        <v>28</v>
      </c>
      <c r="F190" s="114" t="s">
        <v>33</v>
      </c>
      <c r="G190" s="120">
        <v>65.5</v>
      </c>
      <c r="H190" s="120">
        <v>165.5</v>
      </c>
      <c r="I190" s="120">
        <v>100.5</v>
      </c>
      <c r="J190" s="120">
        <v>10.5</v>
      </c>
      <c r="K190" s="120">
        <v>100.5</v>
      </c>
      <c r="L190" s="116">
        <f t="shared" si="4"/>
        <v>442.5</v>
      </c>
      <c r="M190" s="116">
        <v>300</v>
      </c>
      <c r="N190" s="116">
        <f t="shared" si="5"/>
        <v>142.5</v>
      </c>
    </row>
    <row r="191" ht="22.5" customHeight="1" spans="1:14">
      <c r="A191" s="113">
        <v>46212</v>
      </c>
      <c r="B191" s="114" t="s">
        <v>15</v>
      </c>
      <c r="C191" s="114">
        <v>7</v>
      </c>
      <c r="D191" s="114" t="s">
        <v>56</v>
      </c>
      <c r="E191" s="114">
        <v>28</v>
      </c>
      <c r="F191" s="114" t="s">
        <v>34</v>
      </c>
      <c r="G191" s="120">
        <v>0</v>
      </c>
      <c r="H191" s="120">
        <v>0</v>
      </c>
      <c r="I191" s="120">
        <v>0</v>
      </c>
      <c r="J191" s="120">
        <v>0</v>
      </c>
      <c r="K191" s="120">
        <v>0</v>
      </c>
      <c r="L191" s="116">
        <f t="shared" si="4"/>
        <v>0</v>
      </c>
      <c r="M191" s="116">
        <v>300</v>
      </c>
      <c r="N191" s="116">
        <f t="shared" si="5"/>
        <v>0</v>
      </c>
    </row>
    <row r="192" ht="22.5" customHeight="1" spans="1:14">
      <c r="A192" s="113">
        <v>46213</v>
      </c>
      <c r="B192" s="114" t="s">
        <v>15</v>
      </c>
      <c r="C192" s="114">
        <v>7</v>
      </c>
      <c r="D192" s="114" t="s">
        <v>56</v>
      </c>
      <c r="E192" s="114">
        <v>28</v>
      </c>
      <c r="F192" s="114" t="s">
        <v>35</v>
      </c>
      <c r="G192" s="120">
        <v>70.5</v>
      </c>
      <c r="H192" s="120">
        <v>300.5</v>
      </c>
      <c r="I192" s="120">
        <v>150.5</v>
      </c>
      <c r="J192" s="120">
        <v>0</v>
      </c>
      <c r="K192" s="120">
        <v>0</v>
      </c>
      <c r="L192" s="116">
        <f t="shared" si="4"/>
        <v>521.5</v>
      </c>
      <c r="M192" s="116">
        <v>300</v>
      </c>
      <c r="N192" s="116">
        <f t="shared" si="5"/>
        <v>221.5</v>
      </c>
    </row>
    <row r="193" ht="22.5" customHeight="1" spans="1:14">
      <c r="A193" s="113">
        <v>46214</v>
      </c>
      <c r="B193" s="114" t="s">
        <v>15</v>
      </c>
      <c r="C193" s="114">
        <v>7</v>
      </c>
      <c r="D193" s="114" t="s">
        <v>56</v>
      </c>
      <c r="E193" s="114">
        <v>28</v>
      </c>
      <c r="F193" s="114" t="s">
        <v>36</v>
      </c>
      <c r="G193" s="115">
        <v>0</v>
      </c>
      <c r="H193" s="115">
        <v>0</v>
      </c>
      <c r="I193" s="115">
        <v>0</v>
      </c>
      <c r="J193" s="115">
        <v>0</v>
      </c>
      <c r="K193" s="115">
        <v>0</v>
      </c>
      <c r="L193" s="116">
        <f t="shared" si="4"/>
        <v>0</v>
      </c>
      <c r="M193" s="116">
        <v>300</v>
      </c>
      <c r="N193" s="116">
        <f t="shared" si="5"/>
        <v>0</v>
      </c>
    </row>
    <row r="194" ht="22.5" customHeight="1" spans="1:14">
      <c r="A194" s="113">
        <v>46215</v>
      </c>
      <c r="B194" s="114" t="s">
        <v>15</v>
      </c>
      <c r="C194" s="114">
        <v>7</v>
      </c>
      <c r="D194" s="114" t="s">
        <v>56</v>
      </c>
      <c r="E194" s="114">
        <v>29</v>
      </c>
      <c r="F194" s="114" t="s">
        <v>30</v>
      </c>
      <c r="G194" s="115">
        <v>0</v>
      </c>
      <c r="H194" s="115">
        <v>0</v>
      </c>
      <c r="I194" s="115">
        <v>0</v>
      </c>
      <c r="J194" s="115">
        <v>0</v>
      </c>
      <c r="K194" s="115">
        <v>0</v>
      </c>
      <c r="L194" s="116">
        <f t="shared" si="4"/>
        <v>0</v>
      </c>
      <c r="M194" s="116">
        <v>300</v>
      </c>
      <c r="N194" s="116">
        <f t="shared" si="5"/>
        <v>0</v>
      </c>
    </row>
    <row r="195" ht="22.5" customHeight="1" spans="1:14">
      <c r="A195" s="113">
        <v>46216</v>
      </c>
      <c r="B195" s="114" t="s">
        <v>15</v>
      </c>
      <c r="C195" s="114">
        <v>7</v>
      </c>
      <c r="D195" s="114" t="s">
        <v>56</v>
      </c>
      <c r="E195" s="114">
        <v>29</v>
      </c>
      <c r="F195" s="114" t="s">
        <v>31</v>
      </c>
      <c r="G195" s="120">
        <v>75.5</v>
      </c>
      <c r="H195" s="120">
        <v>195.5</v>
      </c>
      <c r="I195" s="120">
        <v>105.5</v>
      </c>
      <c r="J195" s="120">
        <v>25.5</v>
      </c>
      <c r="K195" s="120">
        <v>0</v>
      </c>
      <c r="L195" s="116">
        <f t="shared" ref="L195:L258" si="6">SUM(G195:K195)</f>
        <v>402</v>
      </c>
      <c r="M195" s="116">
        <v>300</v>
      </c>
      <c r="N195" s="116">
        <f t="shared" ref="N195:N258" si="7">IF(L195=0,0,L195-M195)</f>
        <v>102</v>
      </c>
    </row>
    <row r="196" ht="22.5" customHeight="1" spans="1:14">
      <c r="A196" s="113">
        <v>46217</v>
      </c>
      <c r="B196" s="114" t="s">
        <v>15</v>
      </c>
      <c r="C196" s="114">
        <v>7</v>
      </c>
      <c r="D196" s="114" t="s">
        <v>56</v>
      </c>
      <c r="E196" s="114">
        <v>29</v>
      </c>
      <c r="F196" s="114" t="s">
        <v>32</v>
      </c>
      <c r="G196" s="120">
        <v>90.5</v>
      </c>
      <c r="H196" s="120">
        <v>185.5</v>
      </c>
      <c r="I196" s="120">
        <v>65.5</v>
      </c>
      <c r="J196" s="120">
        <v>15.5</v>
      </c>
      <c r="K196" s="120">
        <v>0</v>
      </c>
      <c r="L196" s="116">
        <f t="shared" si="6"/>
        <v>357</v>
      </c>
      <c r="M196" s="116">
        <v>300</v>
      </c>
      <c r="N196" s="116">
        <f t="shared" si="7"/>
        <v>57</v>
      </c>
    </row>
    <row r="197" ht="22.5" customHeight="1" spans="1:14">
      <c r="A197" s="113">
        <v>46218</v>
      </c>
      <c r="B197" s="114" t="s">
        <v>15</v>
      </c>
      <c r="C197" s="114">
        <v>7</v>
      </c>
      <c r="D197" s="114" t="s">
        <v>56</v>
      </c>
      <c r="E197" s="114">
        <v>29</v>
      </c>
      <c r="F197" s="114" t="s">
        <v>33</v>
      </c>
      <c r="G197" s="120">
        <v>85.5</v>
      </c>
      <c r="H197" s="120">
        <v>235.5</v>
      </c>
      <c r="I197" s="120">
        <v>130.5</v>
      </c>
      <c r="J197" s="120">
        <v>0</v>
      </c>
      <c r="K197" s="120">
        <v>30.5</v>
      </c>
      <c r="L197" s="116">
        <f t="shared" si="6"/>
        <v>482</v>
      </c>
      <c r="M197" s="116">
        <v>300</v>
      </c>
      <c r="N197" s="116">
        <f t="shared" si="7"/>
        <v>182</v>
      </c>
    </row>
    <row r="198" ht="22.5" customHeight="1" spans="1:14">
      <c r="A198" s="113">
        <v>46219</v>
      </c>
      <c r="B198" s="114" t="s">
        <v>15</v>
      </c>
      <c r="C198" s="114">
        <v>7</v>
      </c>
      <c r="D198" s="114" t="s">
        <v>56</v>
      </c>
      <c r="E198" s="114">
        <v>29</v>
      </c>
      <c r="F198" s="114" t="s">
        <v>34</v>
      </c>
      <c r="G198" s="120">
        <v>75.5</v>
      </c>
      <c r="H198" s="120">
        <v>150.5</v>
      </c>
      <c r="I198" s="120">
        <v>65.5</v>
      </c>
      <c r="J198" s="120">
        <v>0</v>
      </c>
      <c r="K198" s="120">
        <v>65.5</v>
      </c>
      <c r="L198" s="116">
        <f t="shared" si="6"/>
        <v>357</v>
      </c>
      <c r="M198" s="116">
        <v>300</v>
      </c>
      <c r="N198" s="116">
        <f t="shared" si="7"/>
        <v>57</v>
      </c>
    </row>
    <row r="199" ht="22.5" customHeight="1" spans="1:14">
      <c r="A199" s="113">
        <v>46220</v>
      </c>
      <c r="B199" s="114" t="s">
        <v>15</v>
      </c>
      <c r="C199" s="114">
        <v>7</v>
      </c>
      <c r="D199" s="114" t="s">
        <v>56</v>
      </c>
      <c r="E199" s="114">
        <v>29</v>
      </c>
      <c r="F199" s="114" t="s">
        <v>35</v>
      </c>
      <c r="G199" s="120">
        <v>95.5</v>
      </c>
      <c r="H199" s="120">
        <v>230.5</v>
      </c>
      <c r="I199" s="120">
        <v>0</v>
      </c>
      <c r="J199" s="120">
        <v>25.5</v>
      </c>
      <c r="K199" s="120">
        <v>30.5</v>
      </c>
      <c r="L199" s="116">
        <f t="shared" si="6"/>
        <v>382</v>
      </c>
      <c r="M199" s="116">
        <v>300</v>
      </c>
      <c r="N199" s="116">
        <f t="shared" si="7"/>
        <v>82</v>
      </c>
    </row>
    <row r="200" ht="22.5" customHeight="1" spans="1:14">
      <c r="A200" s="113">
        <v>46221</v>
      </c>
      <c r="B200" s="114" t="s">
        <v>15</v>
      </c>
      <c r="C200" s="114">
        <v>7</v>
      </c>
      <c r="D200" s="114" t="s">
        <v>56</v>
      </c>
      <c r="E200" s="114">
        <v>29</v>
      </c>
      <c r="F200" s="114" t="s">
        <v>36</v>
      </c>
      <c r="G200" s="115">
        <v>0</v>
      </c>
      <c r="H200" s="115">
        <v>0</v>
      </c>
      <c r="I200" s="115">
        <v>0</v>
      </c>
      <c r="J200" s="115">
        <v>0</v>
      </c>
      <c r="K200" s="115">
        <v>0</v>
      </c>
      <c r="L200" s="116">
        <f t="shared" si="6"/>
        <v>0</v>
      </c>
      <c r="M200" s="116">
        <v>300</v>
      </c>
      <c r="N200" s="116">
        <f t="shared" si="7"/>
        <v>0</v>
      </c>
    </row>
    <row r="201" ht="22.5" customHeight="1" spans="1:14">
      <c r="A201" s="113">
        <v>46222</v>
      </c>
      <c r="B201" s="114" t="s">
        <v>15</v>
      </c>
      <c r="C201" s="114">
        <v>7</v>
      </c>
      <c r="D201" s="114" t="s">
        <v>56</v>
      </c>
      <c r="E201" s="114">
        <v>30</v>
      </c>
      <c r="F201" s="114" t="s">
        <v>30</v>
      </c>
      <c r="G201" s="115">
        <v>0</v>
      </c>
      <c r="H201" s="115">
        <v>0</v>
      </c>
      <c r="I201" s="115">
        <v>0</v>
      </c>
      <c r="J201" s="115">
        <v>0</v>
      </c>
      <c r="K201" s="115">
        <v>0</v>
      </c>
      <c r="L201" s="116">
        <f t="shared" si="6"/>
        <v>0</v>
      </c>
      <c r="M201" s="116">
        <v>300</v>
      </c>
      <c r="N201" s="116">
        <f t="shared" si="7"/>
        <v>0</v>
      </c>
    </row>
    <row r="202" ht="22.5" customHeight="1" spans="1:14">
      <c r="A202" s="113">
        <v>46223</v>
      </c>
      <c r="B202" s="114" t="s">
        <v>15</v>
      </c>
      <c r="C202" s="114">
        <v>7</v>
      </c>
      <c r="D202" s="114" t="s">
        <v>56</v>
      </c>
      <c r="E202" s="114">
        <v>30</v>
      </c>
      <c r="F202" s="114" t="s">
        <v>31</v>
      </c>
      <c r="G202" s="120">
        <v>0</v>
      </c>
      <c r="H202" s="120">
        <v>0</v>
      </c>
      <c r="I202" s="120">
        <v>0</v>
      </c>
      <c r="J202" s="120">
        <v>0</v>
      </c>
      <c r="K202" s="120">
        <v>0</v>
      </c>
      <c r="L202" s="116">
        <f t="shared" si="6"/>
        <v>0</v>
      </c>
      <c r="M202" s="116">
        <v>300</v>
      </c>
      <c r="N202" s="116">
        <f t="shared" si="7"/>
        <v>0</v>
      </c>
    </row>
    <row r="203" ht="22.5" customHeight="1" spans="1:14">
      <c r="A203" s="113">
        <v>46224</v>
      </c>
      <c r="B203" s="114" t="s">
        <v>15</v>
      </c>
      <c r="C203" s="114">
        <v>7</v>
      </c>
      <c r="D203" s="114" t="s">
        <v>56</v>
      </c>
      <c r="E203" s="114">
        <v>30</v>
      </c>
      <c r="F203" s="114" t="s">
        <v>32</v>
      </c>
      <c r="G203" s="120">
        <v>34.5</v>
      </c>
      <c r="H203" s="120">
        <v>80.5</v>
      </c>
      <c r="I203" s="120">
        <v>0</v>
      </c>
      <c r="J203" s="120">
        <v>0</v>
      </c>
      <c r="K203" s="120">
        <v>200.5</v>
      </c>
      <c r="L203" s="116">
        <f t="shared" si="6"/>
        <v>315.5</v>
      </c>
      <c r="M203" s="116">
        <v>300</v>
      </c>
      <c r="N203" s="116">
        <f t="shared" si="7"/>
        <v>15.5</v>
      </c>
    </row>
    <row r="204" ht="22.5" customHeight="1" spans="1:14">
      <c r="A204" s="113">
        <v>46225</v>
      </c>
      <c r="B204" s="114" t="s">
        <v>15</v>
      </c>
      <c r="C204" s="114">
        <v>7</v>
      </c>
      <c r="D204" s="114" t="s">
        <v>56</v>
      </c>
      <c r="E204" s="114">
        <v>30</v>
      </c>
      <c r="F204" s="114" t="s">
        <v>33</v>
      </c>
      <c r="G204" s="120">
        <v>80.5</v>
      </c>
      <c r="H204" s="120">
        <v>205.5</v>
      </c>
      <c r="I204" s="120">
        <v>80.5</v>
      </c>
      <c r="J204" s="120">
        <v>25.5</v>
      </c>
      <c r="K204" s="120">
        <v>0</v>
      </c>
      <c r="L204" s="116">
        <f t="shared" si="6"/>
        <v>392</v>
      </c>
      <c r="M204" s="116">
        <v>300</v>
      </c>
      <c r="N204" s="116">
        <f t="shared" si="7"/>
        <v>92</v>
      </c>
    </row>
    <row r="205" ht="22.5" customHeight="1" spans="1:14">
      <c r="A205" s="113">
        <v>46226</v>
      </c>
      <c r="B205" s="114" t="s">
        <v>15</v>
      </c>
      <c r="C205" s="114">
        <v>7</v>
      </c>
      <c r="D205" s="114" t="s">
        <v>56</v>
      </c>
      <c r="E205" s="114">
        <v>30</v>
      </c>
      <c r="F205" s="114" t="s">
        <v>34</v>
      </c>
      <c r="G205" s="120">
        <v>45.5</v>
      </c>
      <c r="H205" s="120">
        <v>145.5</v>
      </c>
      <c r="I205" s="120">
        <v>75.5</v>
      </c>
      <c r="J205" s="120">
        <v>10.5</v>
      </c>
      <c r="K205" s="120">
        <v>30.5</v>
      </c>
      <c r="L205" s="116">
        <f t="shared" si="6"/>
        <v>307.5</v>
      </c>
      <c r="M205" s="116">
        <v>300</v>
      </c>
      <c r="N205" s="116">
        <f t="shared" si="7"/>
        <v>7.5</v>
      </c>
    </row>
    <row r="206" ht="22.5" customHeight="1" spans="1:14">
      <c r="A206" s="113">
        <v>46227</v>
      </c>
      <c r="B206" s="114" t="s">
        <v>15</v>
      </c>
      <c r="C206" s="114">
        <v>7</v>
      </c>
      <c r="D206" s="114" t="s">
        <v>56</v>
      </c>
      <c r="E206" s="114">
        <v>30</v>
      </c>
      <c r="F206" s="114" t="s">
        <v>35</v>
      </c>
      <c r="G206" s="120">
        <v>0</v>
      </c>
      <c r="H206" s="120">
        <v>160.5</v>
      </c>
      <c r="I206" s="120">
        <v>100.5</v>
      </c>
      <c r="J206" s="120">
        <v>0</v>
      </c>
      <c r="K206" s="120">
        <v>0</v>
      </c>
      <c r="L206" s="116">
        <f t="shared" si="6"/>
        <v>261</v>
      </c>
      <c r="M206" s="116">
        <v>300</v>
      </c>
      <c r="N206" s="116">
        <f t="shared" si="7"/>
        <v>-39</v>
      </c>
    </row>
    <row r="207" ht="22.5" customHeight="1" spans="1:14">
      <c r="A207" s="113">
        <v>46228</v>
      </c>
      <c r="B207" s="114" t="s">
        <v>15</v>
      </c>
      <c r="C207" s="114">
        <v>7</v>
      </c>
      <c r="D207" s="114" t="s">
        <v>56</v>
      </c>
      <c r="E207" s="114">
        <v>30</v>
      </c>
      <c r="F207" s="114" t="s">
        <v>36</v>
      </c>
      <c r="G207" s="115">
        <v>0</v>
      </c>
      <c r="H207" s="115">
        <v>0</v>
      </c>
      <c r="I207" s="115">
        <v>0</v>
      </c>
      <c r="J207" s="115">
        <v>0</v>
      </c>
      <c r="K207" s="115">
        <v>0</v>
      </c>
      <c r="L207" s="116">
        <f t="shared" si="6"/>
        <v>0</v>
      </c>
      <c r="M207" s="116">
        <v>300</v>
      </c>
      <c r="N207" s="116">
        <f t="shared" si="7"/>
        <v>0</v>
      </c>
    </row>
    <row r="208" ht="22.5" customHeight="1" spans="1:14">
      <c r="A208" s="113">
        <v>46229</v>
      </c>
      <c r="B208" s="114" t="s">
        <v>15</v>
      </c>
      <c r="C208" s="114">
        <v>7</v>
      </c>
      <c r="D208" s="114" t="s">
        <v>56</v>
      </c>
      <c r="E208" s="114">
        <v>31</v>
      </c>
      <c r="F208" s="114" t="s">
        <v>30</v>
      </c>
      <c r="G208" s="115">
        <v>0</v>
      </c>
      <c r="H208" s="115">
        <v>0</v>
      </c>
      <c r="I208" s="115">
        <v>0</v>
      </c>
      <c r="J208" s="115">
        <v>0</v>
      </c>
      <c r="K208" s="115">
        <v>0</v>
      </c>
      <c r="L208" s="116">
        <f t="shared" si="6"/>
        <v>0</v>
      </c>
      <c r="M208" s="116">
        <v>300</v>
      </c>
      <c r="N208" s="116">
        <f t="shared" si="7"/>
        <v>0</v>
      </c>
    </row>
    <row r="209" ht="22.5" customHeight="1" spans="1:14">
      <c r="A209" s="113">
        <v>46230</v>
      </c>
      <c r="B209" s="114" t="s">
        <v>15</v>
      </c>
      <c r="C209" s="114">
        <v>7</v>
      </c>
      <c r="D209" s="114" t="s">
        <v>56</v>
      </c>
      <c r="E209" s="114">
        <v>31</v>
      </c>
      <c r="F209" s="114" t="s">
        <v>31</v>
      </c>
      <c r="G209" s="120">
        <v>55.5</v>
      </c>
      <c r="H209" s="120">
        <v>145.5</v>
      </c>
      <c r="I209" s="120">
        <v>0</v>
      </c>
      <c r="J209" s="120">
        <v>15.5</v>
      </c>
      <c r="K209" s="120">
        <v>100.5</v>
      </c>
      <c r="L209" s="116">
        <f t="shared" si="6"/>
        <v>317</v>
      </c>
      <c r="M209" s="116">
        <v>300</v>
      </c>
      <c r="N209" s="116">
        <f t="shared" si="7"/>
        <v>17</v>
      </c>
    </row>
    <row r="210" ht="22.5" customHeight="1" spans="1:14">
      <c r="A210" s="113">
        <v>46231</v>
      </c>
      <c r="B210" s="114" t="s">
        <v>15</v>
      </c>
      <c r="C210" s="114">
        <v>7</v>
      </c>
      <c r="D210" s="114" t="s">
        <v>56</v>
      </c>
      <c r="E210" s="114">
        <v>31</v>
      </c>
      <c r="F210" s="114" t="s">
        <v>32</v>
      </c>
      <c r="G210" s="120">
        <v>40.5</v>
      </c>
      <c r="H210" s="120">
        <v>0</v>
      </c>
      <c r="I210" s="120">
        <v>0</v>
      </c>
      <c r="J210" s="120">
        <v>0</v>
      </c>
      <c r="K210" s="120">
        <v>100.5</v>
      </c>
      <c r="L210" s="116">
        <f t="shared" si="6"/>
        <v>141</v>
      </c>
      <c r="M210" s="116">
        <v>300</v>
      </c>
      <c r="N210" s="116">
        <f t="shared" si="7"/>
        <v>-159</v>
      </c>
    </row>
    <row r="211" ht="22.5" customHeight="1" spans="1:14">
      <c r="A211" s="113">
        <v>46232</v>
      </c>
      <c r="B211" s="114" t="s">
        <v>15</v>
      </c>
      <c r="C211" s="114">
        <v>7</v>
      </c>
      <c r="D211" s="114" t="s">
        <v>56</v>
      </c>
      <c r="E211" s="114">
        <v>31</v>
      </c>
      <c r="F211" s="114" t="s">
        <v>33</v>
      </c>
      <c r="G211" s="120">
        <v>50.5</v>
      </c>
      <c r="H211" s="120">
        <v>200.5</v>
      </c>
      <c r="I211" s="120">
        <v>85.5</v>
      </c>
      <c r="J211" s="120">
        <v>10.5</v>
      </c>
      <c r="K211" s="120">
        <v>0</v>
      </c>
      <c r="L211" s="116">
        <f t="shared" si="6"/>
        <v>347</v>
      </c>
      <c r="M211" s="116">
        <v>300</v>
      </c>
      <c r="N211" s="116">
        <f t="shared" si="7"/>
        <v>47</v>
      </c>
    </row>
    <row r="212" ht="22.5" customHeight="1" spans="1:14">
      <c r="A212" s="113">
        <v>46233</v>
      </c>
      <c r="B212" s="114" t="s">
        <v>15</v>
      </c>
      <c r="C212" s="114">
        <v>7</v>
      </c>
      <c r="D212" s="114" t="s">
        <v>56</v>
      </c>
      <c r="E212" s="114">
        <v>31</v>
      </c>
      <c r="F212" s="114" t="s">
        <v>34</v>
      </c>
      <c r="G212" s="120">
        <v>70.5</v>
      </c>
      <c r="H212" s="120">
        <v>250.5</v>
      </c>
      <c r="I212" s="120">
        <v>100.5</v>
      </c>
      <c r="J212" s="120">
        <v>0</v>
      </c>
      <c r="K212" s="120">
        <v>0</v>
      </c>
      <c r="L212" s="116">
        <f t="shared" si="6"/>
        <v>421.5</v>
      </c>
      <c r="M212" s="116">
        <v>300</v>
      </c>
      <c r="N212" s="116">
        <f t="shared" si="7"/>
        <v>121.5</v>
      </c>
    </row>
    <row r="213" ht="22.5" customHeight="1" spans="1:14">
      <c r="A213" s="113">
        <v>46234</v>
      </c>
      <c r="B213" s="114" t="s">
        <v>15</v>
      </c>
      <c r="C213" s="114">
        <v>7</v>
      </c>
      <c r="D213" s="114" t="s">
        <v>56</v>
      </c>
      <c r="E213" s="114">
        <v>31</v>
      </c>
      <c r="F213" s="114" t="s">
        <v>35</v>
      </c>
      <c r="G213" s="120">
        <v>120.5</v>
      </c>
      <c r="H213" s="120">
        <v>180.5</v>
      </c>
      <c r="I213" s="120">
        <v>155.5</v>
      </c>
      <c r="J213" s="120">
        <v>10.5</v>
      </c>
      <c r="K213" s="120">
        <v>30.5</v>
      </c>
      <c r="L213" s="116">
        <f t="shared" si="6"/>
        <v>497.5</v>
      </c>
      <c r="M213" s="116">
        <v>300</v>
      </c>
      <c r="N213" s="116">
        <f t="shared" si="7"/>
        <v>197.5</v>
      </c>
    </row>
    <row r="214" ht="22.5" customHeight="1" spans="1:14">
      <c r="A214" s="113">
        <v>46235</v>
      </c>
      <c r="B214" s="114" t="s">
        <v>16</v>
      </c>
      <c r="C214" s="114">
        <v>8</v>
      </c>
      <c r="D214" s="114" t="s">
        <v>56</v>
      </c>
      <c r="E214" s="114">
        <v>31</v>
      </c>
      <c r="F214" s="114" t="s">
        <v>36</v>
      </c>
      <c r="G214" s="115">
        <v>0</v>
      </c>
      <c r="H214" s="115">
        <v>0</v>
      </c>
      <c r="I214" s="115">
        <v>0</v>
      </c>
      <c r="J214" s="115">
        <v>0</v>
      </c>
      <c r="K214" s="115">
        <v>0</v>
      </c>
      <c r="L214" s="116">
        <f t="shared" si="6"/>
        <v>0</v>
      </c>
      <c r="M214" s="116">
        <v>300</v>
      </c>
      <c r="N214" s="116">
        <f t="shared" si="7"/>
        <v>0</v>
      </c>
    </row>
    <row r="215" ht="22.5" customHeight="1" spans="1:14">
      <c r="A215" s="113">
        <v>46236</v>
      </c>
      <c r="B215" s="114" t="s">
        <v>16</v>
      </c>
      <c r="C215" s="114">
        <v>8</v>
      </c>
      <c r="D215" s="114" t="s">
        <v>56</v>
      </c>
      <c r="E215" s="114">
        <v>32</v>
      </c>
      <c r="F215" s="114" t="s">
        <v>30</v>
      </c>
      <c r="G215" s="115">
        <v>0</v>
      </c>
      <c r="H215" s="115">
        <v>0</v>
      </c>
      <c r="I215" s="115">
        <v>0</v>
      </c>
      <c r="J215" s="115">
        <v>0</v>
      </c>
      <c r="K215" s="115">
        <v>0</v>
      </c>
      <c r="L215" s="116">
        <f t="shared" si="6"/>
        <v>0</v>
      </c>
      <c r="M215" s="116">
        <v>300</v>
      </c>
      <c r="N215" s="116">
        <f t="shared" si="7"/>
        <v>0</v>
      </c>
    </row>
    <row r="216" ht="22.5" customHeight="1" spans="1:14">
      <c r="A216" s="113">
        <v>46237</v>
      </c>
      <c r="B216" s="114" t="s">
        <v>16</v>
      </c>
      <c r="C216" s="114">
        <v>8</v>
      </c>
      <c r="D216" s="114" t="s">
        <v>56</v>
      </c>
      <c r="E216" s="114">
        <v>32</v>
      </c>
      <c r="F216" s="114" t="s">
        <v>31</v>
      </c>
      <c r="G216" s="120">
        <v>105.5</v>
      </c>
      <c r="H216" s="120">
        <v>190.5</v>
      </c>
      <c r="I216" s="120">
        <v>120.5</v>
      </c>
      <c r="J216" s="120">
        <v>0</v>
      </c>
      <c r="K216" s="120">
        <v>45.5</v>
      </c>
      <c r="L216" s="116">
        <f t="shared" si="6"/>
        <v>462</v>
      </c>
      <c r="M216" s="116">
        <v>300</v>
      </c>
      <c r="N216" s="116">
        <f t="shared" si="7"/>
        <v>162</v>
      </c>
    </row>
    <row r="217" ht="22.5" customHeight="1" spans="1:14">
      <c r="A217" s="113">
        <v>46238</v>
      </c>
      <c r="B217" s="114" t="s">
        <v>16</v>
      </c>
      <c r="C217" s="114">
        <v>8</v>
      </c>
      <c r="D217" s="114" t="s">
        <v>56</v>
      </c>
      <c r="E217" s="114">
        <v>32</v>
      </c>
      <c r="F217" s="114" t="s">
        <v>32</v>
      </c>
      <c r="G217" s="120">
        <v>50.5</v>
      </c>
      <c r="H217" s="120">
        <v>60.5</v>
      </c>
      <c r="I217" s="120">
        <v>0</v>
      </c>
      <c r="J217" s="120">
        <v>0</v>
      </c>
      <c r="K217" s="120">
        <v>90.5</v>
      </c>
      <c r="L217" s="116">
        <f t="shared" si="6"/>
        <v>201.5</v>
      </c>
      <c r="M217" s="116">
        <v>300</v>
      </c>
      <c r="N217" s="116">
        <f t="shared" si="7"/>
        <v>-98.5</v>
      </c>
    </row>
    <row r="218" ht="22.5" customHeight="1" spans="1:14">
      <c r="A218" s="113">
        <v>46239</v>
      </c>
      <c r="B218" s="114" t="s">
        <v>16</v>
      </c>
      <c r="C218" s="114">
        <v>8</v>
      </c>
      <c r="D218" s="114" t="s">
        <v>56</v>
      </c>
      <c r="E218" s="114">
        <v>32</v>
      </c>
      <c r="F218" s="114" t="s">
        <v>33</v>
      </c>
      <c r="G218" s="120">
        <v>55.5</v>
      </c>
      <c r="H218" s="120">
        <v>215.5</v>
      </c>
      <c r="I218" s="120">
        <v>60.5</v>
      </c>
      <c r="J218" s="120">
        <v>25.5</v>
      </c>
      <c r="K218" s="120">
        <v>0</v>
      </c>
      <c r="L218" s="116">
        <f t="shared" si="6"/>
        <v>357</v>
      </c>
      <c r="M218" s="116">
        <v>300</v>
      </c>
      <c r="N218" s="116">
        <f t="shared" si="7"/>
        <v>57</v>
      </c>
    </row>
    <row r="219" ht="22.5" customHeight="1" spans="1:14">
      <c r="A219" s="113">
        <v>46240</v>
      </c>
      <c r="B219" s="114" t="s">
        <v>16</v>
      </c>
      <c r="C219" s="114">
        <v>8</v>
      </c>
      <c r="D219" s="114" t="s">
        <v>56</v>
      </c>
      <c r="E219" s="114">
        <v>32</v>
      </c>
      <c r="F219" s="114" t="s">
        <v>34</v>
      </c>
      <c r="G219" s="120">
        <v>65.5</v>
      </c>
      <c r="H219" s="120">
        <v>0</v>
      </c>
      <c r="I219" s="120">
        <v>115.5</v>
      </c>
      <c r="J219" s="120">
        <v>15.5</v>
      </c>
      <c r="K219" s="120">
        <v>80.5</v>
      </c>
      <c r="L219" s="116">
        <f t="shared" si="6"/>
        <v>277</v>
      </c>
      <c r="M219" s="116">
        <v>300</v>
      </c>
      <c r="N219" s="116">
        <f t="shared" si="7"/>
        <v>-23</v>
      </c>
    </row>
    <row r="220" ht="22.5" customHeight="1" spans="1:14">
      <c r="A220" s="113">
        <v>46241</v>
      </c>
      <c r="B220" s="114" t="s">
        <v>16</v>
      </c>
      <c r="C220" s="114">
        <v>8</v>
      </c>
      <c r="D220" s="114" t="s">
        <v>56</v>
      </c>
      <c r="E220" s="114">
        <v>32</v>
      </c>
      <c r="F220" s="114" t="s">
        <v>35</v>
      </c>
      <c r="G220" s="120">
        <v>95.5</v>
      </c>
      <c r="H220" s="120">
        <v>190.5</v>
      </c>
      <c r="I220" s="120">
        <v>155.5</v>
      </c>
      <c r="J220" s="120">
        <v>10.5</v>
      </c>
      <c r="K220" s="120">
        <v>50.5</v>
      </c>
      <c r="L220" s="116">
        <f t="shared" si="6"/>
        <v>502.5</v>
      </c>
      <c r="M220" s="116">
        <v>300</v>
      </c>
      <c r="N220" s="116">
        <f t="shared" si="7"/>
        <v>202.5</v>
      </c>
    </row>
    <row r="221" ht="22.5" customHeight="1" spans="1:14">
      <c r="A221" s="113">
        <v>46242</v>
      </c>
      <c r="B221" s="114" t="s">
        <v>16</v>
      </c>
      <c r="C221" s="114">
        <v>8</v>
      </c>
      <c r="D221" s="114" t="s">
        <v>56</v>
      </c>
      <c r="E221" s="114">
        <v>32</v>
      </c>
      <c r="F221" s="114" t="s">
        <v>36</v>
      </c>
      <c r="G221" s="115">
        <v>0</v>
      </c>
      <c r="H221" s="115">
        <v>0</v>
      </c>
      <c r="I221" s="115">
        <v>0</v>
      </c>
      <c r="J221" s="115">
        <v>0</v>
      </c>
      <c r="K221" s="115">
        <v>0</v>
      </c>
      <c r="L221" s="116">
        <f t="shared" si="6"/>
        <v>0</v>
      </c>
      <c r="M221" s="116">
        <v>300</v>
      </c>
      <c r="N221" s="116">
        <f t="shared" si="7"/>
        <v>0</v>
      </c>
    </row>
    <row r="222" ht="22.5" customHeight="1" spans="1:14">
      <c r="A222" s="113">
        <v>46243</v>
      </c>
      <c r="B222" s="114" t="s">
        <v>16</v>
      </c>
      <c r="C222" s="114">
        <v>8</v>
      </c>
      <c r="D222" s="114" t="s">
        <v>56</v>
      </c>
      <c r="E222" s="114">
        <v>33</v>
      </c>
      <c r="F222" s="114" t="s">
        <v>30</v>
      </c>
      <c r="G222" s="115">
        <v>0</v>
      </c>
      <c r="H222" s="115">
        <v>0</v>
      </c>
      <c r="I222" s="115">
        <v>0</v>
      </c>
      <c r="J222" s="115">
        <v>0</v>
      </c>
      <c r="K222" s="115">
        <v>0</v>
      </c>
      <c r="L222" s="116">
        <f t="shared" si="6"/>
        <v>0</v>
      </c>
      <c r="M222" s="116">
        <v>300</v>
      </c>
      <c r="N222" s="116">
        <f t="shared" si="7"/>
        <v>0</v>
      </c>
    </row>
    <row r="223" ht="22.5" customHeight="1" spans="1:14">
      <c r="A223" s="113">
        <v>46244</v>
      </c>
      <c r="B223" s="114" t="s">
        <v>16</v>
      </c>
      <c r="C223" s="114">
        <v>8</v>
      </c>
      <c r="D223" s="114" t="s">
        <v>56</v>
      </c>
      <c r="E223" s="114">
        <v>33</v>
      </c>
      <c r="F223" s="114" t="s">
        <v>31</v>
      </c>
      <c r="G223" s="120">
        <v>90.5</v>
      </c>
      <c r="H223" s="120">
        <v>0</v>
      </c>
      <c r="I223" s="120">
        <v>0</v>
      </c>
      <c r="J223" s="120">
        <v>0</v>
      </c>
      <c r="K223" s="120">
        <v>56.5</v>
      </c>
      <c r="L223" s="116">
        <f t="shared" si="6"/>
        <v>147</v>
      </c>
      <c r="M223" s="116">
        <v>300</v>
      </c>
      <c r="N223" s="116">
        <f t="shared" si="7"/>
        <v>-153</v>
      </c>
    </row>
    <row r="224" ht="22.5" customHeight="1" spans="1:14">
      <c r="A224" s="113">
        <v>46245</v>
      </c>
      <c r="B224" s="114" t="s">
        <v>16</v>
      </c>
      <c r="C224" s="114">
        <v>8</v>
      </c>
      <c r="D224" s="114" t="s">
        <v>56</v>
      </c>
      <c r="E224" s="114">
        <v>33</v>
      </c>
      <c r="F224" s="114" t="s">
        <v>32</v>
      </c>
      <c r="G224" s="120">
        <v>100.5</v>
      </c>
      <c r="H224" s="120">
        <v>250.5</v>
      </c>
      <c r="I224" s="120">
        <v>125.5</v>
      </c>
      <c r="J224" s="120">
        <v>10.5</v>
      </c>
      <c r="K224" s="120">
        <v>0</v>
      </c>
      <c r="L224" s="116">
        <f t="shared" si="6"/>
        <v>487</v>
      </c>
      <c r="M224" s="116">
        <v>300</v>
      </c>
      <c r="N224" s="116">
        <f t="shared" si="7"/>
        <v>187</v>
      </c>
    </row>
    <row r="225" ht="22.5" customHeight="1" spans="1:14">
      <c r="A225" s="113">
        <v>46246</v>
      </c>
      <c r="B225" s="114" t="s">
        <v>16</v>
      </c>
      <c r="C225" s="114">
        <v>8</v>
      </c>
      <c r="D225" s="114" t="s">
        <v>56</v>
      </c>
      <c r="E225" s="114">
        <v>33</v>
      </c>
      <c r="F225" s="114" t="s">
        <v>33</v>
      </c>
      <c r="G225" s="120">
        <v>70.5</v>
      </c>
      <c r="H225" s="120">
        <v>225.5</v>
      </c>
      <c r="I225" s="120">
        <v>90.5</v>
      </c>
      <c r="J225" s="120">
        <v>0</v>
      </c>
      <c r="K225" s="120">
        <v>0</v>
      </c>
      <c r="L225" s="116">
        <f t="shared" si="6"/>
        <v>386.5</v>
      </c>
      <c r="M225" s="116">
        <v>300</v>
      </c>
      <c r="N225" s="116">
        <f t="shared" si="7"/>
        <v>86.5</v>
      </c>
    </row>
    <row r="226" ht="22.5" customHeight="1" spans="1:14">
      <c r="A226" s="113">
        <v>46247</v>
      </c>
      <c r="B226" s="114" t="s">
        <v>16</v>
      </c>
      <c r="C226" s="114">
        <v>8</v>
      </c>
      <c r="D226" s="114" t="s">
        <v>56</v>
      </c>
      <c r="E226" s="114">
        <v>33</v>
      </c>
      <c r="F226" s="114" t="s">
        <v>34</v>
      </c>
      <c r="G226" s="120">
        <v>75.5</v>
      </c>
      <c r="H226" s="120">
        <v>125.5</v>
      </c>
      <c r="I226" s="120">
        <v>110.5</v>
      </c>
      <c r="J226" s="120">
        <v>0</v>
      </c>
      <c r="K226" s="120">
        <v>80.5</v>
      </c>
      <c r="L226" s="116">
        <f t="shared" si="6"/>
        <v>392</v>
      </c>
      <c r="M226" s="116">
        <v>300</v>
      </c>
      <c r="N226" s="116">
        <f t="shared" si="7"/>
        <v>92</v>
      </c>
    </row>
    <row r="227" ht="22.5" customHeight="1" spans="1:14">
      <c r="A227" s="113">
        <v>46248</v>
      </c>
      <c r="B227" s="114" t="s">
        <v>16</v>
      </c>
      <c r="C227" s="114">
        <v>8</v>
      </c>
      <c r="D227" s="114" t="s">
        <v>56</v>
      </c>
      <c r="E227" s="114">
        <v>33</v>
      </c>
      <c r="F227" s="114" t="s">
        <v>35</v>
      </c>
      <c r="G227" s="120">
        <v>65.5</v>
      </c>
      <c r="H227" s="120">
        <v>0</v>
      </c>
      <c r="I227" s="120">
        <v>120.5</v>
      </c>
      <c r="J227" s="120">
        <v>0</v>
      </c>
      <c r="K227" s="120">
        <v>0</v>
      </c>
      <c r="L227" s="116">
        <f t="shared" si="6"/>
        <v>186</v>
      </c>
      <c r="M227" s="116">
        <v>300</v>
      </c>
      <c r="N227" s="116">
        <f t="shared" si="7"/>
        <v>-114</v>
      </c>
    </row>
    <row r="228" ht="22.5" customHeight="1" spans="1:14">
      <c r="A228" s="113">
        <v>46249</v>
      </c>
      <c r="B228" s="114" t="s">
        <v>16</v>
      </c>
      <c r="C228" s="114">
        <v>8</v>
      </c>
      <c r="D228" s="114" t="s">
        <v>56</v>
      </c>
      <c r="E228" s="114">
        <v>33</v>
      </c>
      <c r="F228" s="114" t="s">
        <v>36</v>
      </c>
      <c r="G228" s="115">
        <v>0</v>
      </c>
      <c r="H228" s="115">
        <v>0</v>
      </c>
      <c r="I228" s="115">
        <v>0</v>
      </c>
      <c r="J228" s="115">
        <v>0</v>
      </c>
      <c r="K228" s="115">
        <v>0</v>
      </c>
      <c r="L228" s="116">
        <f t="shared" si="6"/>
        <v>0</v>
      </c>
      <c r="M228" s="116">
        <v>300</v>
      </c>
      <c r="N228" s="116">
        <f t="shared" si="7"/>
        <v>0</v>
      </c>
    </row>
    <row r="229" ht="22.5" customHeight="1" spans="1:14">
      <c r="A229" s="113">
        <v>46250</v>
      </c>
      <c r="B229" s="114" t="s">
        <v>16</v>
      </c>
      <c r="C229" s="114">
        <v>8</v>
      </c>
      <c r="D229" s="114" t="s">
        <v>56</v>
      </c>
      <c r="E229" s="114">
        <v>34</v>
      </c>
      <c r="F229" s="114" t="s">
        <v>30</v>
      </c>
      <c r="G229" s="115">
        <v>0</v>
      </c>
      <c r="H229" s="115">
        <v>0</v>
      </c>
      <c r="I229" s="115">
        <v>0</v>
      </c>
      <c r="J229" s="115">
        <v>0</v>
      </c>
      <c r="K229" s="115">
        <v>0</v>
      </c>
      <c r="L229" s="116">
        <f t="shared" si="6"/>
        <v>0</v>
      </c>
      <c r="M229" s="116">
        <v>300</v>
      </c>
      <c r="N229" s="116">
        <f t="shared" si="7"/>
        <v>0</v>
      </c>
    </row>
    <row r="230" ht="22.5" customHeight="1" spans="1:14">
      <c r="A230" s="113">
        <v>46251</v>
      </c>
      <c r="B230" s="114" t="s">
        <v>16</v>
      </c>
      <c r="C230" s="114">
        <v>8</v>
      </c>
      <c r="D230" s="114" t="s">
        <v>56</v>
      </c>
      <c r="E230" s="114">
        <v>34</v>
      </c>
      <c r="F230" s="114" t="s">
        <v>31</v>
      </c>
      <c r="G230" s="120">
        <v>95.5</v>
      </c>
      <c r="H230" s="120">
        <v>130.5</v>
      </c>
      <c r="I230" s="120">
        <v>95.5</v>
      </c>
      <c r="J230" s="120">
        <v>0</v>
      </c>
      <c r="K230" s="120">
        <v>65.5</v>
      </c>
      <c r="L230" s="116">
        <f t="shared" si="6"/>
        <v>387</v>
      </c>
      <c r="M230" s="116">
        <v>300</v>
      </c>
      <c r="N230" s="116">
        <f t="shared" si="7"/>
        <v>87</v>
      </c>
    </row>
    <row r="231" ht="22.5" customHeight="1" spans="1:14">
      <c r="A231" s="113">
        <v>46252</v>
      </c>
      <c r="B231" s="114" t="s">
        <v>16</v>
      </c>
      <c r="C231" s="114">
        <v>8</v>
      </c>
      <c r="D231" s="114" t="s">
        <v>56</v>
      </c>
      <c r="E231" s="114">
        <v>34</v>
      </c>
      <c r="F231" s="114" t="s">
        <v>32</v>
      </c>
      <c r="G231" s="120">
        <v>0</v>
      </c>
      <c r="H231" s="120">
        <v>185.5</v>
      </c>
      <c r="I231" s="120">
        <v>90.5</v>
      </c>
      <c r="J231" s="120">
        <v>25.5</v>
      </c>
      <c r="K231" s="120">
        <v>30.5</v>
      </c>
      <c r="L231" s="116">
        <f t="shared" si="6"/>
        <v>332</v>
      </c>
      <c r="M231" s="116">
        <v>300</v>
      </c>
      <c r="N231" s="116">
        <f t="shared" si="7"/>
        <v>32</v>
      </c>
    </row>
    <row r="232" ht="22.5" customHeight="1" spans="1:14">
      <c r="A232" s="113">
        <v>46253</v>
      </c>
      <c r="B232" s="114" t="s">
        <v>16</v>
      </c>
      <c r="C232" s="114">
        <v>8</v>
      </c>
      <c r="D232" s="114" t="s">
        <v>56</v>
      </c>
      <c r="E232" s="114">
        <v>34</v>
      </c>
      <c r="F232" s="114" t="s">
        <v>33</v>
      </c>
      <c r="G232" s="120">
        <v>60.5</v>
      </c>
      <c r="H232" s="120">
        <v>0</v>
      </c>
      <c r="I232" s="120">
        <v>110.5</v>
      </c>
      <c r="J232" s="120">
        <v>15.5</v>
      </c>
      <c r="K232" s="120">
        <v>65.5</v>
      </c>
      <c r="L232" s="116">
        <f t="shared" si="6"/>
        <v>252</v>
      </c>
      <c r="M232" s="116">
        <v>300</v>
      </c>
      <c r="N232" s="116">
        <f t="shared" si="7"/>
        <v>-48</v>
      </c>
    </row>
    <row r="233" ht="22.5" customHeight="1" spans="1:14">
      <c r="A233" s="113">
        <v>46254</v>
      </c>
      <c r="B233" s="114" t="s">
        <v>16</v>
      </c>
      <c r="C233" s="114">
        <v>8</v>
      </c>
      <c r="D233" s="114" t="s">
        <v>56</v>
      </c>
      <c r="E233" s="114">
        <v>34</v>
      </c>
      <c r="F233" s="114" t="s">
        <v>34</v>
      </c>
      <c r="G233" s="120">
        <v>50.5</v>
      </c>
      <c r="H233" s="120">
        <v>0</v>
      </c>
      <c r="I233" s="120">
        <v>60.5</v>
      </c>
      <c r="J233" s="120">
        <v>25.5</v>
      </c>
      <c r="K233" s="120">
        <v>0</v>
      </c>
      <c r="L233" s="116">
        <f t="shared" si="6"/>
        <v>136.5</v>
      </c>
      <c r="M233" s="116">
        <v>300</v>
      </c>
      <c r="N233" s="116">
        <f t="shared" si="7"/>
        <v>-163.5</v>
      </c>
    </row>
    <row r="234" ht="22.5" customHeight="1" spans="1:14">
      <c r="A234" s="113">
        <v>46255</v>
      </c>
      <c r="B234" s="114" t="s">
        <v>16</v>
      </c>
      <c r="C234" s="114">
        <v>8</v>
      </c>
      <c r="D234" s="114" t="s">
        <v>56</v>
      </c>
      <c r="E234" s="114">
        <v>34</v>
      </c>
      <c r="F234" s="114" t="s">
        <v>35</v>
      </c>
      <c r="G234" s="120">
        <v>90.5</v>
      </c>
      <c r="H234" s="120">
        <v>67.5</v>
      </c>
      <c r="I234" s="120">
        <v>0</v>
      </c>
      <c r="J234" s="120">
        <v>0</v>
      </c>
      <c r="K234" s="120">
        <v>45.5</v>
      </c>
      <c r="L234" s="116">
        <f t="shared" si="6"/>
        <v>203.5</v>
      </c>
      <c r="M234" s="116">
        <v>300</v>
      </c>
      <c r="N234" s="116">
        <f t="shared" si="7"/>
        <v>-96.5</v>
      </c>
    </row>
    <row r="235" ht="22.5" customHeight="1" spans="1:14">
      <c r="A235" s="113">
        <v>46256</v>
      </c>
      <c r="B235" s="114" t="s">
        <v>16</v>
      </c>
      <c r="C235" s="114">
        <v>8</v>
      </c>
      <c r="D235" s="114" t="s">
        <v>56</v>
      </c>
      <c r="E235" s="114">
        <v>34</v>
      </c>
      <c r="F235" s="114" t="s">
        <v>36</v>
      </c>
      <c r="G235" s="115">
        <v>0</v>
      </c>
      <c r="H235" s="115">
        <v>0</v>
      </c>
      <c r="I235" s="115">
        <v>0</v>
      </c>
      <c r="J235" s="115">
        <v>0</v>
      </c>
      <c r="K235" s="115">
        <v>0</v>
      </c>
      <c r="L235" s="116">
        <f t="shared" si="6"/>
        <v>0</v>
      </c>
      <c r="M235" s="116">
        <v>300</v>
      </c>
      <c r="N235" s="116">
        <f t="shared" si="7"/>
        <v>0</v>
      </c>
    </row>
    <row r="236" ht="22.5" customHeight="1" spans="1:14">
      <c r="A236" s="113">
        <v>46257</v>
      </c>
      <c r="B236" s="114" t="s">
        <v>16</v>
      </c>
      <c r="C236" s="114">
        <v>8</v>
      </c>
      <c r="D236" s="114" t="s">
        <v>56</v>
      </c>
      <c r="E236" s="114">
        <v>35</v>
      </c>
      <c r="F236" s="114" t="s">
        <v>30</v>
      </c>
      <c r="G236" s="115">
        <v>0</v>
      </c>
      <c r="H236" s="115">
        <v>0</v>
      </c>
      <c r="I236" s="115">
        <v>0</v>
      </c>
      <c r="J236" s="115">
        <v>0</v>
      </c>
      <c r="K236" s="115">
        <v>0</v>
      </c>
      <c r="L236" s="116">
        <f t="shared" si="6"/>
        <v>0</v>
      </c>
      <c r="M236" s="116">
        <v>300</v>
      </c>
      <c r="N236" s="116">
        <f t="shared" si="7"/>
        <v>0</v>
      </c>
    </row>
    <row r="237" ht="22.5" customHeight="1" spans="1:14">
      <c r="A237" s="113">
        <v>46258</v>
      </c>
      <c r="B237" s="114" t="s">
        <v>16</v>
      </c>
      <c r="C237" s="114">
        <v>8</v>
      </c>
      <c r="D237" s="114" t="s">
        <v>56</v>
      </c>
      <c r="E237" s="114">
        <v>35</v>
      </c>
      <c r="F237" s="114" t="s">
        <v>31</v>
      </c>
      <c r="G237" s="120">
        <v>55.5</v>
      </c>
      <c r="H237" s="120">
        <v>135.5</v>
      </c>
      <c r="I237" s="120">
        <v>65.5</v>
      </c>
      <c r="J237" s="120">
        <v>25.5</v>
      </c>
      <c r="K237" s="120">
        <v>65.5</v>
      </c>
      <c r="L237" s="116">
        <f t="shared" si="6"/>
        <v>347.5</v>
      </c>
      <c r="M237" s="116">
        <v>300</v>
      </c>
      <c r="N237" s="116">
        <f t="shared" si="7"/>
        <v>47.5</v>
      </c>
    </row>
    <row r="238" ht="22.5" customHeight="1" spans="1:14">
      <c r="A238" s="113">
        <v>46259</v>
      </c>
      <c r="B238" s="114" t="s">
        <v>16</v>
      </c>
      <c r="C238" s="114">
        <v>8</v>
      </c>
      <c r="D238" s="114" t="s">
        <v>56</v>
      </c>
      <c r="E238" s="114">
        <v>35</v>
      </c>
      <c r="F238" s="114" t="s">
        <v>32</v>
      </c>
      <c r="G238" s="120">
        <v>0</v>
      </c>
      <c r="H238" s="120">
        <v>160.5</v>
      </c>
      <c r="I238" s="120">
        <v>70.5</v>
      </c>
      <c r="J238" s="120">
        <v>20.5</v>
      </c>
      <c r="K238" s="120">
        <v>0</v>
      </c>
      <c r="L238" s="116">
        <f t="shared" si="6"/>
        <v>251.5</v>
      </c>
      <c r="M238" s="116">
        <v>300</v>
      </c>
      <c r="N238" s="116">
        <f t="shared" si="7"/>
        <v>-48.5</v>
      </c>
    </row>
    <row r="239" ht="22.5" customHeight="1" spans="1:14">
      <c r="A239" s="113">
        <v>46260</v>
      </c>
      <c r="B239" s="114" t="s">
        <v>16</v>
      </c>
      <c r="C239" s="114">
        <v>8</v>
      </c>
      <c r="D239" s="114" t="s">
        <v>56</v>
      </c>
      <c r="E239" s="114">
        <v>35</v>
      </c>
      <c r="F239" s="114" t="s">
        <v>33</v>
      </c>
      <c r="G239" s="120">
        <v>80.5</v>
      </c>
      <c r="H239" s="120">
        <v>170.5</v>
      </c>
      <c r="I239" s="120">
        <v>115.5</v>
      </c>
      <c r="J239" s="120">
        <v>0</v>
      </c>
      <c r="K239" s="120">
        <v>0</v>
      </c>
      <c r="L239" s="116">
        <f t="shared" si="6"/>
        <v>366.5</v>
      </c>
      <c r="M239" s="116">
        <v>300</v>
      </c>
      <c r="N239" s="116">
        <f t="shared" si="7"/>
        <v>66.5</v>
      </c>
    </row>
    <row r="240" ht="22.5" customHeight="1" spans="1:14">
      <c r="A240" s="113">
        <v>46261</v>
      </c>
      <c r="B240" s="114" t="s">
        <v>16</v>
      </c>
      <c r="C240" s="114">
        <v>8</v>
      </c>
      <c r="D240" s="114" t="s">
        <v>56</v>
      </c>
      <c r="E240" s="114">
        <v>35</v>
      </c>
      <c r="F240" s="114" t="s">
        <v>34</v>
      </c>
      <c r="G240" s="120">
        <v>70.5</v>
      </c>
      <c r="H240" s="120">
        <v>90.5</v>
      </c>
      <c r="I240" s="120">
        <v>0</v>
      </c>
      <c r="J240" s="120">
        <v>0</v>
      </c>
      <c r="K240" s="120">
        <v>80.5</v>
      </c>
      <c r="L240" s="116">
        <f t="shared" si="6"/>
        <v>241.5</v>
      </c>
      <c r="M240" s="116">
        <v>300</v>
      </c>
      <c r="N240" s="116">
        <f t="shared" si="7"/>
        <v>-58.5</v>
      </c>
    </row>
    <row r="241" ht="22.5" customHeight="1" spans="1:14">
      <c r="A241" s="113">
        <v>46262</v>
      </c>
      <c r="B241" s="114" t="s">
        <v>16</v>
      </c>
      <c r="C241" s="114">
        <v>8</v>
      </c>
      <c r="D241" s="114" t="s">
        <v>56</v>
      </c>
      <c r="E241" s="114">
        <v>35</v>
      </c>
      <c r="F241" s="114" t="s">
        <v>35</v>
      </c>
      <c r="G241" s="120">
        <v>65.5</v>
      </c>
      <c r="H241" s="120">
        <v>0</v>
      </c>
      <c r="I241" s="120">
        <v>140.5</v>
      </c>
      <c r="J241" s="120">
        <v>0</v>
      </c>
      <c r="K241" s="120">
        <v>78.5</v>
      </c>
      <c r="L241" s="116">
        <f t="shared" si="6"/>
        <v>284.5</v>
      </c>
      <c r="M241" s="116">
        <v>300</v>
      </c>
      <c r="N241" s="116">
        <f t="shared" si="7"/>
        <v>-15.5</v>
      </c>
    </row>
    <row r="242" ht="22.5" customHeight="1" spans="1:14">
      <c r="A242" s="113">
        <v>46263</v>
      </c>
      <c r="B242" s="114" t="s">
        <v>16</v>
      </c>
      <c r="C242" s="114">
        <v>8</v>
      </c>
      <c r="D242" s="114" t="s">
        <v>56</v>
      </c>
      <c r="E242" s="114">
        <v>35</v>
      </c>
      <c r="F242" s="114" t="s">
        <v>36</v>
      </c>
      <c r="G242" s="115">
        <v>0</v>
      </c>
      <c r="H242" s="115">
        <v>0</v>
      </c>
      <c r="I242" s="115">
        <v>0</v>
      </c>
      <c r="J242" s="115">
        <v>0</v>
      </c>
      <c r="K242" s="115">
        <v>0</v>
      </c>
      <c r="L242" s="116">
        <f t="shared" si="6"/>
        <v>0</v>
      </c>
      <c r="M242" s="116">
        <v>300</v>
      </c>
      <c r="N242" s="116">
        <f t="shared" si="7"/>
        <v>0</v>
      </c>
    </row>
    <row r="243" ht="22.5" customHeight="1" spans="1:14">
      <c r="A243" s="113">
        <v>46264</v>
      </c>
      <c r="B243" s="114" t="s">
        <v>16</v>
      </c>
      <c r="C243" s="114">
        <v>8</v>
      </c>
      <c r="D243" s="114" t="s">
        <v>56</v>
      </c>
      <c r="E243" s="114">
        <v>36</v>
      </c>
      <c r="F243" s="114" t="s">
        <v>30</v>
      </c>
      <c r="G243" s="115">
        <v>0</v>
      </c>
      <c r="H243" s="115">
        <v>0</v>
      </c>
      <c r="I243" s="115">
        <v>0</v>
      </c>
      <c r="J243" s="115">
        <v>0</v>
      </c>
      <c r="K243" s="115">
        <v>0</v>
      </c>
      <c r="L243" s="116">
        <f t="shared" si="6"/>
        <v>0</v>
      </c>
      <c r="M243" s="116">
        <v>300</v>
      </c>
      <c r="N243" s="116">
        <f t="shared" si="7"/>
        <v>0</v>
      </c>
    </row>
    <row r="244" ht="22.5" customHeight="1" spans="1:14">
      <c r="A244" s="113">
        <v>46265</v>
      </c>
      <c r="B244" s="114" t="s">
        <v>16</v>
      </c>
      <c r="C244" s="114">
        <v>8</v>
      </c>
      <c r="D244" s="114" t="s">
        <v>56</v>
      </c>
      <c r="E244" s="114">
        <v>36</v>
      </c>
      <c r="F244" s="114" t="s">
        <v>31</v>
      </c>
      <c r="G244" s="120">
        <v>90.5</v>
      </c>
      <c r="H244" s="120">
        <v>250.5</v>
      </c>
      <c r="I244" s="120">
        <v>95.5</v>
      </c>
      <c r="J244" s="120">
        <v>0</v>
      </c>
      <c r="K244" s="120">
        <v>80.5</v>
      </c>
      <c r="L244" s="116">
        <f t="shared" si="6"/>
        <v>517</v>
      </c>
      <c r="M244" s="116">
        <v>300</v>
      </c>
      <c r="N244" s="116">
        <f t="shared" si="7"/>
        <v>217</v>
      </c>
    </row>
    <row r="245" ht="22.5" customHeight="1" spans="1:14">
      <c r="A245" s="113">
        <v>46266</v>
      </c>
      <c r="B245" s="114" t="s">
        <v>17</v>
      </c>
      <c r="C245" s="114">
        <v>9</v>
      </c>
      <c r="D245" s="114" t="s">
        <v>56</v>
      </c>
      <c r="E245" s="114">
        <v>36</v>
      </c>
      <c r="F245" s="114" t="s">
        <v>32</v>
      </c>
      <c r="G245" s="120">
        <v>80.5</v>
      </c>
      <c r="H245" s="120">
        <v>230.5</v>
      </c>
      <c r="I245" s="120">
        <v>80.5</v>
      </c>
      <c r="J245" s="120">
        <v>0</v>
      </c>
      <c r="K245" s="120">
        <v>80.5</v>
      </c>
      <c r="L245" s="116">
        <f t="shared" si="6"/>
        <v>472</v>
      </c>
      <c r="M245" s="116">
        <v>300</v>
      </c>
      <c r="N245" s="116">
        <f t="shared" si="7"/>
        <v>172</v>
      </c>
    </row>
    <row r="246" ht="22.5" customHeight="1" spans="1:14">
      <c r="A246" s="113">
        <v>46267</v>
      </c>
      <c r="B246" s="114" t="s">
        <v>17</v>
      </c>
      <c r="C246" s="114">
        <v>9</v>
      </c>
      <c r="D246" s="114" t="s">
        <v>56</v>
      </c>
      <c r="E246" s="114">
        <v>36</v>
      </c>
      <c r="F246" s="114" t="s">
        <v>33</v>
      </c>
      <c r="G246" s="120">
        <v>55.5</v>
      </c>
      <c r="H246" s="120">
        <v>215.5</v>
      </c>
      <c r="I246" s="120">
        <v>100.5</v>
      </c>
      <c r="J246" s="120">
        <v>0</v>
      </c>
      <c r="K246" s="120">
        <v>60.5</v>
      </c>
      <c r="L246" s="116">
        <f t="shared" si="6"/>
        <v>432</v>
      </c>
      <c r="M246" s="116">
        <v>300</v>
      </c>
      <c r="N246" s="116">
        <f t="shared" si="7"/>
        <v>132</v>
      </c>
    </row>
    <row r="247" ht="22.5" customHeight="1" spans="1:14">
      <c r="A247" s="113">
        <v>46268</v>
      </c>
      <c r="B247" s="114" t="s">
        <v>17</v>
      </c>
      <c r="C247" s="114">
        <v>9</v>
      </c>
      <c r="D247" s="114" t="s">
        <v>56</v>
      </c>
      <c r="E247" s="114">
        <v>36</v>
      </c>
      <c r="F247" s="114" t="s">
        <v>34</v>
      </c>
      <c r="G247" s="120">
        <v>0</v>
      </c>
      <c r="H247" s="120">
        <v>0</v>
      </c>
      <c r="I247" s="120">
        <v>0</v>
      </c>
      <c r="J247" s="120">
        <v>0</v>
      </c>
      <c r="K247" s="120">
        <v>0</v>
      </c>
      <c r="L247" s="116">
        <f t="shared" si="6"/>
        <v>0</v>
      </c>
      <c r="M247" s="116">
        <v>300</v>
      </c>
      <c r="N247" s="116">
        <f t="shared" si="7"/>
        <v>0</v>
      </c>
    </row>
    <row r="248" ht="22.5" customHeight="1" spans="1:14">
      <c r="A248" s="113">
        <v>46269</v>
      </c>
      <c r="B248" s="114" t="s">
        <v>17</v>
      </c>
      <c r="C248" s="114">
        <v>9</v>
      </c>
      <c r="D248" s="114" t="s">
        <v>56</v>
      </c>
      <c r="E248" s="114">
        <v>36</v>
      </c>
      <c r="F248" s="114" t="s">
        <v>35</v>
      </c>
      <c r="G248" s="120">
        <v>0</v>
      </c>
      <c r="H248" s="120">
        <v>190.5</v>
      </c>
      <c r="I248" s="120">
        <v>80.5</v>
      </c>
      <c r="J248" s="120">
        <v>0</v>
      </c>
      <c r="K248" s="120">
        <v>60.5</v>
      </c>
      <c r="L248" s="116">
        <f t="shared" si="6"/>
        <v>331.5</v>
      </c>
      <c r="M248" s="116">
        <v>300</v>
      </c>
      <c r="N248" s="116">
        <f t="shared" si="7"/>
        <v>31.5</v>
      </c>
    </row>
    <row r="249" ht="22.5" customHeight="1" spans="1:14">
      <c r="A249" s="113">
        <v>46270</v>
      </c>
      <c r="B249" s="114" t="s">
        <v>17</v>
      </c>
      <c r="C249" s="114">
        <v>9</v>
      </c>
      <c r="D249" s="114" t="s">
        <v>56</v>
      </c>
      <c r="E249" s="114">
        <v>36</v>
      </c>
      <c r="F249" s="114" t="s">
        <v>36</v>
      </c>
      <c r="G249" s="115">
        <v>0</v>
      </c>
      <c r="H249" s="115">
        <v>0</v>
      </c>
      <c r="I249" s="115">
        <v>0</v>
      </c>
      <c r="J249" s="115">
        <v>0</v>
      </c>
      <c r="K249" s="115">
        <v>0</v>
      </c>
      <c r="L249" s="116">
        <f t="shared" si="6"/>
        <v>0</v>
      </c>
      <c r="M249" s="116">
        <v>300</v>
      </c>
      <c r="N249" s="116">
        <f t="shared" si="7"/>
        <v>0</v>
      </c>
    </row>
    <row r="250" ht="22.5" customHeight="1" spans="1:14">
      <c r="A250" s="113">
        <v>46271</v>
      </c>
      <c r="B250" s="114" t="s">
        <v>17</v>
      </c>
      <c r="C250" s="114">
        <v>9</v>
      </c>
      <c r="D250" s="114" t="s">
        <v>56</v>
      </c>
      <c r="E250" s="114">
        <v>37</v>
      </c>
      <c r="F250" s="114" t="s">
        <v>30</v>
      </c>
      <c r="G250" s="115">
        <v>0</v>
      </c>
      <c r="H250" s="115">
        <v>0</v>
      </c>
      <c r="I250" s="115">
        <v>0</v>
      </c>
      <c r="J250" s="115">
        <v>0</v>
      </c>
      <c r="K250" s="115">
        <v>0</v>
      </c>
      <c r="L250" s="116">
        <f t="shared" si="6"/>
        <v>0</v>
      </c>
      <c r="M250" s="116">
        <v>300</v>
      </c>
      <c r="N250" s="116">
        <f t="shared" si="7"/>
        <v>0</v>
      </c>
    </row>
    <row r="251" ht="22.5" customHeight="1" spans="1:14">
      <c r="A251" s="113">
        <v>46272</v>
      </c>
      <c r="B251" s="114" t="s">
        <v>17</v>
      </c>
      <c r="C251" s="114">
        <v>9</v>
      </c>
      <c r="D251" s="114" t="s">
        <v>56</v>
      </c>
      <c r="E251" s="114">
        <v>37</v>
      </c>
      <c r="F251" s="114" t="s">
        <v>31</v>
      </c>
      <c r="G251" s="120">
        <v>95.5</v>
      </c>
      <c r="H251" s="120">
        <v>170.5</v>
      </c>
      <c r="I251" s="120">
        <v>80.5</v>
      </c>
      <c r="J251" s="120">
        <v>0</v>
      </c>
      <c r="K251" s="120">
        <v>0</v>
      </c>
      <c r="L251" s="116">
        <f t="shared" si="6"/>
        <v>346.5</v>
      </c>
      <c r="M251" s="116">
        <v>300</v>
      </c>
      <c r="N251" s="116">
        <f t="shared" si="7"/>
        <v>46.5</v>
      </c>
    </row>
    <row r="252" ht="22.5" customHeight="1" spans="1:14">
      <c r="A252" s="113">
        <v>46273</v>
      </c>
      <c r="B252" s="114" t="s">
        <v>17</v>
      </c>
      <c r="C252" s="114">
        <v>9</v>
      </c>
      <c r="D252" s="114" t="s">
        <v>56</v>
      </c>
      <c r="E252" s="114">
        <v>37</v>
      </c>
      <c r="F252" s="114" t="s">
        <v>32</v>
      </c>
      <c r="G252" s="120">
        <v>100.5</v>
      </c>
      <c r="H252" s="120">
        <v>180.5</v>
      </c>
      <c r="I252" s="120">
        <v>95.5</v>
      </c>
      <c r="J252" s="120">
        <v>0</v>
      </c>
      <c r="K252" s="120">
        <v>50.5</v>
      </c>
      <c r="L252" s="116">
        <f t="shared" si="6"/>
        <v>427</v>
      </c>
      <c r="M252" s="116">
        <v>300</v>
      </c>
      <c r="N252" s="116">
        <f t="shared" si="7"/>
        <v>127</v>
      </c>
    </row>
    <row r="253" ht="22.5" customHeight="1" spans="1:14">
      <c r="A253" s="113">
        <v>46274</v>
      </c>
      <c r="B253" s="114" t="s">
        <v>17</v>
      </c>
      <c r="C253" s="114">
        <v>9</v>
      </c>
      <c r="D253" s="114" t="s">
        <v>56</v>
      </c>
      <c r="E253" s="114">
        <v>37</v>
      </c>
      <c r="F253" s="114" t="s">
        <v>33</v>
      </c>
      <c r="G253" s="120">
        <v>110.5</v>
      </c>
      <c r="H253" s="120">
        <v>210.5</v>
      </c>
      <c r="I253" s="120">
        <v>70.5</v>
      </c>
      <c r="J253" s="120">
        <v>0</v>
      </c>
      <c r="K253" s="120">
        <v>60.5</v>
      </c>
      <c r="L253" s="116">
        <f t="shared" si="6"/>
        <v>452</v>
      </c>
      <c r="M253" s="116">
        <v>300</v>
      </c>
      <c r="N253" s="116">
        <f t="shared" si="7"/>
        <v>152</v>
      </c>
    </row>
    <row r="254" ht="22.5" customHeight="1" spans="1:14">
      <c r="A254" s="113">
        <v>46275</v>
      </c>
      <c r="B254" s="114" t="s">
        <v>17</v>
      </c>
      <c r="C254" s="114">
        <v>9</v>
      </c>
      <c r="D254" s="114" t="s">
        <v>56</v>
      </c>
      <c r="E254" s="114">
        <v>37</v>
      </c>
      <c r="F254" s="114" t="s">
        <v>34</v>
      </c>
      <c r="G254" s="120">
        <v>80.5</v>
      </c>
      <c r="H254" s="120">
        <v>125.5</v>
      </c>
      <c r="I254" s="120">
        <v>95.5</v>
      </c>
      <c r="J254" s="120">
        <v>25.5</v>
      </c>
      <c r="K254" s="120">
        <v>45.5</v>
      </c>
      <c r="L254" s="116">
        <f t="shared" si="6"/>
        <v>372.5</v>
      </c>
      <c r="M254" s="116">
        <v>300</v>
      </c>
      <c r="N254" s="116">
        <f t="shared" si="7"/>
        <v>72.5</v>
      </c>
    </row>
    <row r="255" ht="22.5" customHeight="1" spans="1:14">
      <c r="A255" s="113">
        <v>46276</v>
      </c>
      <c r="B255" s="114" t="s">
        <v>17</v>
      </c>
      <c r="C255" s="114">
        <v>9</v>
      </c>
      <c r="D255" s="114" t="s">
        <v>56</v>
      </c>
      <c r="E255" s="114">
        <v>37</v>
      </c>
      <c r="F255" s="114" t="s">
        <v>35</v>
      </c>
      <c r="G255" s="120">
        <v>89.5</v>
      </c>
      <c r="H255" s="120">
        <v>90.5</v>
      </c>
      <c r="I255" s="120">
        <v>0</v>
      </c>
      <c r="J255" s="120">
        <v>0</v>
      </c>
      <c r="K255" s="120">
        <v>45.5</v>
      </c>
      <c r="L255" s="116">
        <f t="shared" si="6"/>
        <v>225.5</v>
      </c>
      <c r="M255" s="116">
        <v>300</v>
      </c>
      <c r="N255" s="116">
        <f t="shared" si="7"/>
        <v>-74.5</v>
      </c>
    </row>
    <row r="256" ht="22.5" customHeight="1" spans="1:14">
      <c r="A256" s="113">
        <v>46277</v>
      </c>
      <c r="B256" s="114" t="s">
        <v>17</v>
      </c>
      <c r="C256" s="114">
        <v>9</v>
      </c>
      <c r="D256" s="114" t="s">
        <v>56</v>
      </c>
      <c r="E256" s="114">
        <v>37</v>
      </c>
      <c r="F256" s="114" t="s">
        <v>36</v>
      </c>
      <c r="G256" s="115">
        <v>0</v>
      </c>
      <c r="H256" s="115">
        <v>0</v>
      </c>
      <c r="I256" s="115">
        <v>0</v>
      </c>
      <c r="J256" s="115">
        <v>0</v>
      </c>
      <c r="K256" s="115">
        <v>0</v>
      </c>
      <c r="L256" s="116">
        <f t="shared" si="6"/>
        <v>0</v>
      </c>
      <c r="M256" s="116">
        <v>300</v>
      </c>
      <c r="N256" s="116">
        <f t="shared" si="7"/>
        <v>0</v>
      </c>
    </row>
    <row r="257" ht="22.5" customHeight="1" spans="1:14">
      <c r="A257" s="113">
        <v>46278</v>
      </c>
      <c r="B257" s="114" t="s">
        <v>17</v>
      </c>
      <c r="C257" s="114">
        <v>9</v>
      </c>
      <c r="D257" s="114" t="s">
        <v>56</v>
      </c>
      <c r="E257" s="114">
        <v>38</v>
      </c>
      <c r="F257" s="114" t="s">
        <v>30</v>
      </c>
      <c r="G257" s="115">
        <v>0</v>
      </c>
      <c r="H257" s="115">
        <v>0</v>
      </c>
      <c r="I257" s="115">
        <v>0</v>
      </c>
      <c r="J257" s="115">
        <v>0</v>
      </c>
      <c r="K257" s="115">
        <v>0</v>
      </c>
      <c r="L257" s="116">
        <f t="shared" si="6"/>
        <v>0</v>
      </c>
      <c r="M257" s="116">
        <v>300</v>
      </c>
      <c r="N257" s="116">
        <f t="shared" si="7"/>
        <v>0</v>
      </c>
    </row>
    <row r="258" ht="22.5" customHeight="1" spans="1:14">
      <c r="A258" s="113">
        <v>46279</v>
      </c>
      <c r="B258" s="114" t="s">
        <v>17</v>
      </c>
      <c r="C258" s="114">
        <v>9</v>
      </c>
      <c r="D258" s="114" t="s">
        <v>56</v>
      </c>
      <c r="E258" s="114">
        <v>38</v>
      </c>
      <c r="F258" s="114" t="s">
        <v>31</v>
      </c>
      <c r="G258" s="120">
        <v>65.5</v>
      </c>
      <c r="H258" s="120">
        <v>150.5</v>
      </c>
      <c r="I258" s="120">
        <v>75.5</v>
      </c>
      <c r="J258" s="120">
        <v>10.5</v>
      </c>
      <c r="K258" s="120">
        <v>80.5</v>
      </c>
      <c r="L258" s="116">
        <f t="shared" si="6"/>
        <v>382.5</v>
      </c>
      <c r="M258" s="116">
        <v>300</v>
      </c>
      <c r="N258" s="116">
        <f t="shared" si="7"/>
        <v>82.5</v>
      </c>
    </row>
    <row r="259" ht="22.5" customHeight="1" spans="1:14">
      <c r="A259" s="113">
        <v>46280</v>
      </c>
      <c r="B259" s="114" t="s">
        <v>17</v>
      </c>
      <c r="C259" s="114">
        <v>9</v>
      </c>
      <c r="D259" s="114" t="s">
        <v>56</v>
      </c>
      <c r="E259" s="114">
        <v>38</v>
      </c>
      <c r="F259" s="114" t="s">
        <v>32</v>
      </c>
      <c r="G259" s="120">
        <v>0</v>
      </c>
      <c r="H259" s="120">
        <v>190.5</v>
      </c>
      <c r="I259" s="120">
        <v>80.5</v>
      </c>
      <c r="J259" s="120">
        <v>0</v>
      </c>
      <c r="K259" s="120">
        <v>80.5</v>
      </c>
      <c r="L259" s="116">
        <f t="shared" ref="L259:L322" si="8">SUM(G259:K259)</f>
        <v>351.5</v>
      </c>
      <c r="M259" s="116">
        <v>300</v>
      </c>
      <c r="N259" s="116">
        <f t="shared" ref="N259:N322" si="9">IF(L259=0,0,L259-M259)</f>
        <v>51.5</v>
      </c>
    </row>
    <row r="260" ht="22.5" customHeight="1" spans="1:14">
      <c r="A260" s="113">
        <v>46281</v>
      </c>
      <c r="B260" s="114" t="s">
        <v>17</v>
      </c>
      <c r="C260" s="114">
        <v>9</v>
      </c>
      <c r="D260" s="114" t="s">
        <v>56</v>
      </c>
      <c r="E260" s="114">
        <v>38</v>
      </c>
      <c r="F260" s="114" t="s">
        <v>33</v>
      </c>
      <c r="G260" s="120">
        <v>60.5</v>
      </c>
      <c r="H260" s="120">
        <v>200.5</v>
      </c>
      <c r="I260" s="120">
        <v>75.5</v>
      </c>
      <c r="J260" s="120">
        <v>20.5</v>
      </c>
      <c r="K260" s="120">
        <v>65.5</v>
      </c>
      <c r="L260" s="116">
        <f t="shared" si="8"/>
        <v>422.5</v>
      </c>
      <c r="M260" s="116">
        <v>300</v>
      </c>
      <c r="N260" s="116">
        <f t="shared" si="9"/>
        <v>122.5</v>
      </c>
    </row>
    <row r="261" ht="22.5" customHeight="1" spans="1:14">
      <c r="A261" s="113">
        <v>46282</v>
      </c>
      <c r="B261" s="114" t="s">
        <v>17</v>
      </c>
      <c r="C261" s="114">
        <v>9</v>
      </c>
      <c r="D261" s="114" t="s">
        <v>56</v>
      </c>
      <c r="E261" s="114">
        <v>38</v>
      </c>
      <c r="F261" s="114" t="s">
        <v>34</v>
      </c>
      <c r="G261" s="120">
        <v>50.5</v>
      </c>
      <c r="H261" s="120">
        <v>175.5</v>
      </c>
      <c r="I261" s="120">
        <v>0</v>
      </c>
      <c r="J261" s="120">
        <v>20.5</v>
      </c>
      <c r="K261" s="120">
        <v>0</v>
      </c>
      <c r="L261" s="116">
        <f t="shared" si="8"/>
        <v>246.5</v>
      </c>
      <c r="M261" s="116">
        <v>300</v>
      </c>
      <c r="N261" s="116">
        <f t="shared" si="9"/>
        <v>-53.5</v>
      </c>
    </row>
    <row r="262" ht="22.5" customHeight="1" spans="1:14">
      <c r="A262" s="113">
        <v>46283</v>
      </c>
      <c r="B262" s="114" t="s">
        <v>17</v>
      </c>
      <c r="C262" s="114">
        <v>9</v>
      </c>
      <c r="D262" s="114" t="s">
        <v>56</v>
      </c>
      <c r="E262" s="114">
        <v>38</v>
      </c>
      <c r="F262" s="114" t="s">
        <v>35</v>
      </c>
      <c r="G262" s="120">
        <v>60.5</v>
      </c>
      <c r="H262" s="120">
        <v>65.5</v>
      </c>
      <c r="I262" s="120">
        <v>0</v>
      </c>
      <c r="J262" s="120">
        <v>0</v>
      </c>
      <c r="K262" s="120">
        <v>120.5</v>
      </c>
      <c r="L262" s="116">
        <f t="shared" si="8"/>
        <v>246.5</v>
      </c>
      <c r="M262" s="116">
        <v>300</v>
      </c>
      <c r="N262" s="116">
        <f t="shared" si="9"/>
        <v>-53.5</v>
      </c>
    </row>
    <row r="263" ht="22.5" customHeight="1" spans="1:14">
      <c r="A263" s="113">
        <v>46284</v>
      </c>
      <c r="B263" s="114" t="s">
        <v>17</v>
      </c>
      <c r="C263" s="114">
        <v>9</v>
      </c>
      <c r="D263" s="114" t="s">
        <v>56</v>
      </c>
      <c r="E263" s="114">
        <v>38</v>
      </c>
      <c r="F263" s="114" t="s">
        <v>36</v>
      </c>
      <c r="G263" s="115">
        <v>0</v>
      </c>
      <c r="H263" s="115">
        <v>0</v>
      </c>
      <c r="I263" s="115">
        <v>0</v>
      </c>
      <c r="J263" s="115">
        <v>0</v>
      </c>
      <c r="K263" s="115">
        <v>0</v>
      </c>
      <c r="L263" s="116">
        <f t="shared" si="8"/>
        <v>0</v>
      </c>
      <c r="M263" s="116">
        <v>300</v>
      </c>
      <c r="N263" s="116">
        <f t="shared" si="9"/>
        <v>0</v>
      </c>
    </row>
    <row r="264" ht="22.5" customHeight="1" spans="1:14">
      <c r="A264" s="113">
        <v>46285</v>
      </c>
      <c r="B264" s="114" t="s">
        <v>17</v>
      </c>
      <c r="C264" s="114">
        <v>9</v>
      </c>
      <c r="D264" s="114" t="s">
        <v>56</v>
      </c>
      <c r="E264" s="114">
        <v>39</v>
      </c>
      <c r="F264" s="114" t="s">
        <v>30</v>
      </c>
      <c r="G264" s="115">
        <v>0</v>
      </c>
      <c r="H264" s="115">
        <v>0</v>
      </c>
      <c r="I264" s="115">
        <v>0</v>
      </c>
      <c r="J264" s="115">
        <v>0</v>
      </c>
      <c r="K264" s="115">
        <v>0</v>
      </c>
      <c r="L264" s="116">
        <f t="shared" si="8"/>
        <v>0</v>
      </c>
      <c r="M264" s="116">
        <v>300</v>
      </c>
      <c r="N264" s="116">
        <f t="shared" si="9"/>
        <v>0</v>
      </c>
    </row>
    <row r="265" ht="22.5" customHeight="1" spans="1:14">
      <c r="A265" s="113">
        <v>46286</v>
      </c>
      <c r="B265" s="114" t="s">
        <v>17</v>
      </c>
      <c r="C265" s="114">
        <v>9</v>
      </c>
      <c r="D265" s="114" t="s">
        <v>56</v>
      </c>
      <c r="E265" s="114">
        <v>39</v>
      </c>
      <c r="F265" s="114" t="s">
        <v>31</v>
      </c>
      <c r="G265" s="120">
        <v>40.5</v>
      </c>
      <c r="H265" s="120">
        <v>0</v>
      </c>
      <c r="I265" s="120">
        <v>75.5</v>
      </c>
      <c r="J265" s="120">
        <v>20.5</v>
      </c>
      <c r="K265" s="120">
        <v>0</v>
      </c>
      <c r="L265" s="116">
        <f t="shared" si="8"/>
        <v>136.5</v>
      </c>
      <c r="M265" s="116">
        <v>300</v>
      </c>
      <c r="N265" s="116">
        <f t="shared" si="9"/>
        <v>-163.5</v>
      </c>
    </row>
    <row r="266" ht="22.5" customHeight="1" spans="1:14">
      <c r="A266" s="113">
        <v>46287</v>
      </c>
      <c r="B266" s="114" t="s">
        <v>17</v>
      </c>
      <c r="C266" s="114">
        <v>9</v>
      </c>
      <c r="D266" s="114" t="s">
        <v>56</v>
      </c>
      <c r="E266" s="114">
        <v>39</v>
      </c>
      <c r="F266" s="114" t="s">
        <v>32</v>
      </c>
      <c r="G266" s="120">
        <v>60.5</v>
      </c>
      <c r="H266" s="120">
        <v>170.5</v>
      </c>
      <c r="I266" s="120">
        <v>70.5</v>
      </c>
      <c r="J266" s="120">
        <v>0</v>
      </c>
      <c r="K266" s="120">
        <v>0</v>
      </c>
      <c r="L266" s="116">
        <f t="shared" si="8"/>
        <v>301.5</v>
      </c>
      <c r="M266" s="116">
        <v>300</v>
      </c>
      <c r="N266" s="116">
        <f t="shared" si="9"/>
        <v>1.5</v>
      </c>
    </row>
    <row r="267" ht="22.5" customHeight="1" spans="1:14">
      <c r="A267" s="113">
        <v>46288</v>
      </c>
      <c r="B267" s="114" t="s">
        <v>17</v>
      </c>
      <c r="C267" s="114">
        <v>9</v>
      </c>
      <c r="D267" s="114" t="s">
        <v>56</v>
      </c>
      <c r="E267" s="114">
        <v>39</v>
      </c>
      <c r="F267" s="114" t="s">
        <v>33</v>
      </c>
      <c r="G267" s="120">
        <v>60.5</v>
      </c>
      <c r="H267" s="120">
        <v>150.5</v>
      </c>
      <c r="I267" s="120">
        <v>0</v>
      </c>
      <c r="J267" s="120">
        <v>25.5</v>
      </c>
      <c r="K267" s="120">
        <v>40.5</v>
      </c>
      <c r="L267" s="116">
        <f t="shared" si="8"/>
        <v>277</v>
      </c>
      <c r="M267" s="116">
        <v>300</v>
      </c>
      <c r="N267" s="116">
        <f t="shared" si="9"/>
        <v>-23</v>
      </c>
    </row>
    <row r="268" ht="22.5" customHeight="1" spans="1:14">
      <c r="A268" s="113">
        <v>46289</v>
      </c>
      <c r="B268" s="114" t="s">
        <v>17</v>
      </c>
      <c r="C268" s="114">
        <v>9</v>
      </c>
      <c r="D268" s="114" t="s">
        <v>56</v>
      </c>
      <c r="E268" s="114">
        <v>39</v>
      </c>
      <c r="F268" s="114" t="s">
        <v>34</v>
      </c>
      <c r="G268" s="120">
        <v>85.5</v>
      </c>
      <c r="H268" s="120">
        <v>145.5</v>
      </c>
      <c r="I268" s="120">
        <v>60.5</v>
      </c>
      <c r="J268" s="120">
        <v>0</v>
      </c>
      <c r="K268" s="120">
        <v>0</v>
      </c>
      <c r="L268" s="116">
        <f t="shared" si="8"/>
        <v>291.5</v>
      </c>
      <c r="M268" s="116">
        <v>300</v>
      </c>
      <c r="N268" s="116">
        <f t="shared" si="9"/>
        <v>-8.5</v>
      </c>
    </row>
    <row r="269" ht="22.5" customHeight="1" spans="1:14">
      <c r="A269" s="113">
        <v>46290</v>
      </c>
      <c r="B269" s="114" t="s">
        <v>17</v>
      </c>
      <c r="C269" s="114">
        <v>9</v>
      </c>
      <c r="D269" s="114" t="s">
        <v>56</v>
      </c>
      <c r="E269" s="114">
        <v>39</v>
      </c>
      <c r="F269" s="114" t="s">
        <v>35</v>
      </c>
      <c r="G269" s="120">
        <v>120.5</v>
      </c>
      <c r="H269" s="120">
        <v>250.5</v>
      </c>
      <c r="I269" s="120">
        <v>120.5</v>
      </c>
      <c r="J269" s="120">
        <v>10.5</v>
      </c>
      <c r="K269" s="120">
        <v>0</v>
      </c>
      <c r="L269" s="116">
        <f t="shared" si="8"/>
        <v>502</v>
      </c>
      <c r="M269" s="116">
        <v>300</v>
      </c>
      <c r="N269" s="116">
        <f t="shared" si="9"/>
        <v>202</v>
      </c>
    </row>
    <row r="270" ht="22.5" customHeight="1" spans="1:14">
      <c r="A270" s="113">
        <v>46291</v>
      </c>
      <c r="B270" s="114" t="s">
        <v>17</v>
      </c>
      <c r="C270" s="114">
        <v>9</v>
      </c>
      <c r="D270" s="114" t="s">
        <v>56</v>
      </c>
      <c r="E270" s="114">
        <v>39</v>
      </c>
      <c r="F270" s="114" t="s">
        <v>36</v>
      </c>
      <c r="G270" s="115">
        <v>0</v>
      </c>
      <c r="H270" s="115">
        <v>0</v>
      </c>
      <c r="I270" s="115">
        <v>0</v>
      </c>
      <c r="J270" s="115">
        <v>0</v>
      </c>
      <c r="K270" s="115">
        <v>0</v>
      </c>
      <c r="L270" s="116">
        <f t="shared" si="8"/>
        <v>0</v>
      </c>
      <c r="M270" s="116">
        <v>300</v>
      </c>
      <c r="N270" s="116">
        <f t="shared" si="9"/>
        <v>0</v>
      </c>
    </row>
    <row r="271" ht="22.5" customHeight="1" spans="1:14">
      <c r="A271" s="113">
        <v>46292</v>
      </c>
      <c r="B271" s="114" t="s">
        <v>17</v>
      </c>
      <c r="C271" s="114">
        <v>9</v>
      </c>
      <c r="D271" s="114" t="s">
        <v>56</v>
      </c>
      <c r="E271" s="114">
        <v>40</v>
      </c>
      <c r="F271" s="114" t="s">
        <v>30</v>
      </c>
      <c r="G271" s="115">
        <v>0</v>
      </c>
      <c r="H271" s="115">
        <v>0</v>
      </c>
      <c r="I271" s="115">
        <v>0</v>
      </c>
      <c r="J271" s="115">
        <v>0</v>
      </c>
      <c r="K271" s="115">
        <v>0</v>
      </c>
      <c r="L271" s="116">
        <f t="shared" si="8"/>
        <v>0</v>
      </c>
      <c r="M271" s="116">
        <v>300</v>
      </c>
      <c r="N271" s="116">
        <f t="shared" si="9"/>
        <v>0</v>
      </c>
    </row>
    <row r="272" ht="22.5" customHeight="1" spans="1:14">
      <c r="A272" s="113">
        <v>46293</v>
      </c>
      <c r="B272" s="114" t="s">
        <v>17</v>
      </c>
      <c r="C272" s="114">
        <v>9</v>
      </c>
      <c r="D272" s="114" t="s">
        <v>56</v>
      </c>
      <c r="E272" s="114">
        <v>40</v>
      </c>
      <c r="F272" s="114" t="s">
        <v>31</v>
      </c>
      <c r="G272" s="120">
        <v>0</v>
      </c>
      <c r="H272" s="120">
        <v>0</v>
      </c>
      <c r="I272" s="120">
        <v>0</v>
      </c>
      <c r="J272" s="120">
        <v>0</v>
      </c>
      <c r="K272" s="120">
        <v>0</v>
      </c>
      <c r="L272" s="116">
        <f t="shared" si="8"/>
        <v>0</v>
      </c>
      <c r="M272" s="116">
        <v>300</v>
      </c>
      <c r="N272" s="116">
        <f t="shared" si="9"/>
        <v>0</v>
      </c>
    </row>
    <row r="273" ht="22.5" customHeight="1" spans="1:14">
      <c r="A273" s="113">
        <v>46294</v>
      </c>
      <c r="B273" s="114" t="s">
        <v>17</v>
      </c>
      <c r="C273" s="114">
        <v>9</v>
      </c>
      <c r="D273" s="114" t="s">
        <v>56</v>
      </c>
      <c r="E273" s="114">
        <v>40</v>
      </c>
      <c r="F273" s="114" t="s">
        <v>32</v>
      </c>
      <c r="G273" s="120">
        <v>110.5</v>
      </c>
      <c r="H273" s="120">
        <v>175.5</v>
      </c>
      <c r="I273" s="120">
        <v>105.5</v>
      </c>
      <c r="J273" s="120">
        <v>20.5</v>
      </c>
      <c r="K273" s="120">
        <v>80.5</v>
      </c>
      <c r="L273" s="116">
        <f t="shared" si="8"/>
        <v>492.5</v>
      </c>
      <c r="M273" s="116">
        <v>300</v>
      </c>
      <c r="N273" s="116">
        <f t="shared" si="9"/>
        <v>192.5</v>
      </c>
    </row>
    <row r="274" ht="22.5" customHeight="1" spans="1:14">
      <c r="A274" s="113">
        <v>46295</v>
      </c>
      <c r="B274" s="114" t="s">
        <v>17</v>
      </c>
      <c r="C274" s="114">
        <v>9</v>
      </c>
      <c r="D274" s="114" t="s">
        <v>56</v>
      </c>
      <c r="E274" s="114">
        <v>40</v>
      </c>
      <c r="F274" s="114" t="s">
        <v>33</v>
      </c>
      <c r="G274" s="120">
        <v>50.5</v>
      </c>
      <c r="H274" s="120">
        <v>190.5</v>
      </c>
      <c r="I274" s="120">
        <v>125.5</v>
      </c>
      <c r="J274" s="120">
        <v>10.5</v>
      </c>
      <c r="K274" s="120">
        <v>80.5</v>
      </c>
      <c r="L274" s="116">
        <f t="shared" si="8"/>
        <v>457.5</v>
      </c>
      <c r="M274" s="116">
        <v>300</v>
      </c>
      <c r="N274" s="116">
        <f t="shared" si="9"/>
        <v>157.5</v>
      </c>
    </row>
    <row r="275" ht="22.5" customHeight="1" spans="1:14">
      <c r="A275" s="113">
        <v>46296</v>
      </c>
      <c r="B275" s="114" t="s">
        <v>18</v>
      </c>
      <c r="C275" s="114">
        <v>10</v>
      </c>
      <c r="D275" s="114" t="s">
        <v>57</v>
      </c>
      <c r="E275" s="114">
        <v>40</v>
      </c>
      <c r="F275" s="114" t="s">
        <v>34</v>
      </c>
      <c r="G275" s="120">
        <v>75.5</v>
      </c>
      <c r="H275" s="120">
        <v>225.5</v>
      </c>
      <c r="I275" s="120">
        <v>0</v>
      </c>
      <c r="J275" s="120">
        <v>0</v>
      </c>
      <c r="K275" s="120">
        <v>50.5</v>
      </c>
      <c r="L275" s="116">
        <f t="shared" si="8"/>
        <v>351.5</v>
      </c>
      <c r="M275" s="116">
        <v>300</v>
      </c>
      <c r="N275" s="116">
        <f t="shared" si="9"/>
        <v>51.5</v>
      </c>
    </row>
    <row r="276" ht="22.5" customHeight="1" spans="1:14">
      <c r="A276" s="113">
        <v>46297</v>
      </c>
      <c r="B276" s="114" t="s">
        <v>18</v>
      </c>
      <c r="C276" s="114">
        <v>10</v>
      </c>
      <c r="D276" s="114" t="s">
        <v>57</v>
      </c>
      <c r="E276" s="114">
        <v>40</v>
      </c>
      <c r="F276" s="114" t="s">
        <v>35</v>
      </c>
      <c r="G276" s="120">
        <v>45.5</v>
      </c>
      <c r="H276" s="120">
        <v>200.5</v>
      </c>
      <c r="I276" s="120">
        <v>115.5</v>
      </c>
      <c r="J276" s="120">
        <v>30.5</v>
      </c>
      <c r="K276" s="120">
        <v>50.5</v>
      </c>
      <c r="L276" s="116">
        <f t="shared" si="8"/>
        <v>442.5</v>
      </c>
      <c r="M276" s="116">
        <v>300</v>
      </c>
      <c r="N276" s="116">
        <f t="shared" si="9"/>
        <v>142.5</v>
      </c>
    </row>
    <row r="277" ht="22.5" customHeight="1" spans="1:14">
      <c r="A277" s="113">
        <v>46298</v>
      </c>
      <c r="B277" s="114" t="s">
        <v>18</v>
      </c>
      <c r="C277" s="114">
        <v>10</v>
      </c>
      <c r="D277" s="114" t="s">
        <v>57</v>
      </c>
      <c r="E277" s="114">
        <v>40</v>
      </c>
      <c r="F277" s="114" t="s">
        <v>36</v>
      </c>
      <c r="G277" s="115">
        <v>0</v>
      </c>
      <c r="H277" s="115">
        <v>0</v>
      </c>
      <c r="I277" s="115">
        <v>0</v>
      </c>
      <c r="J277" s="115">
        <v>0</v>
      </c>
      <c r="K277" s="115">
        <v>0</v>
      </c>
      <c r="L277" s="116">
        <f t="shared" si="8"/>
        <v>0</v>
      </c>
      <c r="M277" s="116">
        <v>300</v>
      </c>
      <c r="N277" s="116">
        <f t="shared" si="9"/>
        <v>0</v>
      </c>
    </row>
    <row r="278" ht="22.5" customHeight="1" spans="1:14">
      <c r="A278" s="113">
        <v>46299</v>
      </c>
      <c r="B278" s="114" t="s">
        <v>18</v>
      </c>
      <c r="C278" s="114">
        <v>10</v>
      </c>
      <c r="D278" s="114" t="s">
        <v>57</v>
      </c>
      <c r="E278" s="114">
        <v>41</v>
      </c>
      <c r="F278" s="114" t="s">
        <v>30</v>
      </c>
      <c r="G278" s="115">
        <v>0</v>
      </c>
      <c r="H278" s="115">
        <v>0</v>
      </c>
      <c r="I278" s="115">
        <v>0</v>
      </c>
      <c r="J278" s="115">
        <v>0</v>
      </c>
      <c r="K278" s="115">
        <v>0</v>
      </c>
      <c r="L278" s="116">
        <f t="shared" si="8"/>
        <v>0</v>
      </c>
      <c r="M278" s="116">
        <v>300</v>
      </c>
      <c r="N278" s="116">
        <f t="shared" si="9"/>
        <v>0</v>
      </c>
    </row>
    <row r="279" ht="22.5" customHeight="1" spans="1:14">
      <c r="A279" s="113">
        <v>46300</v>
      </c>
      <c r="B279" s="114" t="s">
        <v>18</v>
      </c>
      <c r="C279" s="114">
        <v>10</v>
      </c>
      <c r="D279" s="114" t="s">
        <v>57</v>
      </c>
      <c r="E279" s="114">
        <v>41</v>
      </c>
      <c r="F279" s="114" t="s">
        <v>31</v>
      </c>
      <c r="G279" s="120">
        <v>45.5</v>
      </c>
      <c r="H279" s="120">
        <v>59.5</v>
      </c>
      <c r="I279" s="120">
        <v>0</v>
      </c>
      <c r="J279" s="120">
        <v>0</v>
      </c>
      <c r="K279" s="120">
        <v>57.5</v>
      </c>
      <c r="L279" s="116">
        <f t="shared" si="8"/>
        <v>162.5</v>
      </c>
      <c r="M279" s="116">
        <v>300</v>
      </c>
      <c r="N279" s="116">
        <f t="shared" si="9"/>
        <v>-137.5</v>
      </c>
    </row>
    <row r="280" ht="22.5" customHeight="1" spans="1:14">
      <c r="A280" s="113">
        <v>46301</v>
      </c>
      <c r="B280" s="114" t="s">
        <v>18</v>
      </c>
      <c r="C280" s="114">
        <v>10</v>
      </c>
      <c r="D280" s="114" t="s">
        <v>57</v>
      </c>
      <c r="E280" s="114">
        <v>41</v>
      </c>
      <c r="F280" s="114" t="s">
        <v>32</v>
      </c>
      <c r="G280" s="120">
        <v>67.5</v>
      </c>
      <c r="H280" s="120">
        <v>128.5</v>
      </c>
      <c r="I280" s="120">
        <v>0</v>
      </c>
      <c r="J280" s="120">
        <v>0</v>
      </c>
      <c r="K280" s="120">
        <v>60.5</v>
      </c>
      <c r="L280" s="116">
        <f t="shared" si="8"/>
        <v>256.5</v>
      </c>
      <c r="M280" s="116">
        <v>300</v>
      </c>
      <c r="N280" s="116">
        <f t="shared" si="9"/>
        <v>-43.5</v>
      </c>
    </row>
    <row r="281" ht="22.5" customHeight="1" spans="1:14">
      <c r="A281" s="113">
        <v>46302</v>
      </c>
      <c r="B281" s="114" t="s">
        <v>18</v>
      </c>
      <c r="C281" s="114">
        <v>10</v>
      </c>
      <c r="D281" s="114" t="s">
        <v>57</v>
      </c>
      <c r="E281" s="114">
        <v>41</v>
      </c>
      <c r="F281" s="114" t="s">
        <v>33</v>
      </c>
      <c r="G281" s="120">
        <v>50.5</v>
      </c>
      <c r="H281" s="120">
        <v>67.5</v>
      </c>
      <c r="I281" s="120">
        <v>125.5</v>
      </c>
      <c r="J281" s="120">
        <v>0</v>
      </c>
      <c r="K281" s="120">
        <v>40.5</v>
      </c>
      <c r="L281" s="116">
        <f t="shared" si="8"/>
        <v>284</v>
      </c>
      <c r="M281" s="116">
        <v>300</v>
      </c>
      <c r="N281" s="116">
        <f t="shared" si="9"/>
        <v>-16</v>
      </c>
    </row>
    <row r="282" ht="22.5" customHeight="1" spans="1:14">
      <c r="A282" s="113">
        <v>46303</v>
      </c>
      <c r="B282" s="114" t="s">
        <v>18</v>
      </c>
      <c r="C282" s="114">
        <v>10</v>
      </c>
      <c r="D282" s="114" t="s">
        <v>57</v>
      </c>
      <c r="E282" s="114">
        <v>41</v>
      </c>
      <c r="F282" s="114" t="s">
        <v>34</v>
      </c>
      <c r="G282" s="120">
        <v>0</v>
      </c>
      <c r="H282" s="120">
        <v>0</v>
      </c>
      <c r="I282" s="120">
        <v>0</v>
      </c>
      <c r="J282" s="120">
        <v>0</v>
      </c>
      <c r="K282" s="120">
        <v>0</v>
      </c>
      <c r="L282" s="116">
        <f t="shared" si="8"/>
        <v>0</v>
      </c>
      <c r="M282" s="116">
        <v>300</v>
      </c>
      <c r="N282" s="116">
        <f t="shared" si="9"/>
        <v>0</v>
      </c>
    </row>
    <row r="283" ht="22.5" customHeight="1" spans="1:14">
      <c r="A283" s="113">
        <v>46304</v>
      </c>
      <c r="B283" s="114" t="s">
        <v>18</v>
      </c>
      <c r="C283" s="114">
        <v>10</v>
      </c>
      <c r="D283" s="114" t="s">
        <v>57</v>
      </c>
      <c r="E283" s="114">
        <v>41</v>
      </c>
      <c r="F283" s="114" t="s">
        <v>35</v>
      </c>
      <c r="G283" s="120">
        <v>125.5</v>
      </c>
      <c r="H283" s="120">
        <v>230.5</v>
      </c>
      <c r="I283" s="120">
        <v>0</v>
      </c>
      <c r="J283" s="120">
        <v>25.5</v>
      </c>
      <c r="K283" s="120">
        <v>100.5</v>
      </c>
      <c r="L283" s="116">
        <f t="shared" si="8"/>
        <v>482</v>
      </c>
      <c r="M283" s="116">
        <v>300</v>
      </c>
      <c r="N283" s="116">
        <f t="shared" si="9"/>
        <v>182</v>
      </c>
    </row>
    <row r="284" ht="22.5" customHeight="1" spans="1:14">
      <c r="A284" s="113">
        <v>46305</v>
      </c>
      <c r="B284" s="114" t="s">
        <v>18</v>
      </c>
      <c r="C284" s="114">
        <v>10</v>
      </c>
      <c r="D284" s="114" t="s">
        <v>57</v>
      </c>
      <c r="E284" s="114">
        <v>41</v>
      </c>
      <c r="F284" s="114" t="s">
        <v>36</v>
      </c>
      <c r="G284" s="115">
        <v>0</v>
      </c>
      <c r="H284" s="115">
        <v>0</v>
      </c>
      <c r="I284" s="115">
        <v>0</v>
      </c>
      <c r="J284" s="115">
        <v>0</v>
      </c>
      <c r="K284" s="115">
        <v>0</v>
      </c>
      <c r="L284" s="116">
        <f t="shared" si="8"/>
        <v>0</v>
      </c>
      <c r="M284" s="116">
        <v>300</v>
      </c>
      <c r="N284" s="116">
        <f t="shared" si="9"/>
        <v>0</v>
      </c>
    </row>
    <row r="285" ht="22.5" customHeight="1" spans="1:14">
      <c r="A285" s="113">
        <v>46306</v>
      </c>
      <c r="B285" s="114" t="s">
        <v>18</v>
      </c>
      <c r="C285" s="114">
        <v>10</v>
      </c>
      <c r="D285" s="114" t="s">
        <v>57</v>
      </c>
      <c r="E285" s="114">
        <v>42</v>
      </c>
      <c r="F285" s="114" t="s">
        <v>30</v>
      </c>
      <c r="G285" s="115">
        <v>0</v>
      </c>
      <c r="H285" s="115">
        <v>0</v>
      </c>
      <c r="I285" s="115">
        <v>0</v>
      </c>
      <c r="J285" s="115">
        <v>0</v>
      </c>
      <c r="K285" s="115">
        <v>0</v>
      </c>
      <c r="L285" s="116">
        <f t="shared" si="8"/>
        <v>0</v>
      </c>
      <c r="M285" s="116">
        <v>300</v>
      </c>
      <c r="N285" s="116">
        <f t="shared" si="9"/>
        <v>0</v>
      </c>
    </row>
    <row r="286" ht="22.5" customHeight="1" spans="1:14">
      <c r="A286" s="113">
        <v>46307</v>
      </c>
      <c r="B286" s="114" t="s">
        <v>18</v>
      </c>
      <c r="C286" s="114">
        <v>10</v>
      </c>
      <c r="D286" s="114" t="s">
        <v>57</v>
      </c>
      <c r="E286" s="114">
        <v>42</v>
      </c>
      <c r="F286" s="114" t="s">
        <v>31</v>
      </c>
      <c r="G286" s="120">
        <v>75.5</v>
      </c>
      <c r="H286" s="120">
        <v>190.5</v>
      </c>
      <c r="I286" s="120">
        <v>125.5</v>
      </c>
      <c r="J286" s="120">
        <v>25.5</v>
      </c>
      <c r="K286" s="120">
        <v>60.5</v>
      </c>
      <c r="L286" s="116">
        <f t="shared" si="8"/>
        <v>477.5</v>
      </c>
      <c r="M286" s="116">
        <v>300</v>
      </c>
      <c r="N286" s="116">
        <f t="shared" si="9"/>
        <v>177.5</v>
      </c>
    </row>
    <row r="287" ht="22.5" customHeight="1" spans="1:14">
      <c r="A287" s="113">
        <v>46308</v>
      </c>
      <c r="B287" s="114" t="s">
        <v>18</v>
      </c>
      <c r="C287" s="114">
        <v>10</v>
      </c>
      <c r="D287" s="114" t="s">
        <v>57</v>
      </c>
      <c r="E287" s="114">
        <v>42</v>
      </c>
      <c r="F287" s="114" t="s">
        <v>32</v>
      </c>
      <c r="G287" s="120">
        <v>120.5</v>
      </c>
      <c r="H287" s="120">
        <v>255.5</v>
      </c>
      <c r="I287" s="120">
        <v>95.5</v>
      </c>
      <c r="J287" s="120">
        <v>10.5</v>
      </c>
      <c r="K287" s="120">
        <v>70.5</v>
      </c>
      <c r="L287" s="116">
        <f t="shared" si="8"/>
        <v>552.5</v>
      </c>
      <c r="M287" s="116">
        <v>300</v>
      </c>
      <c r="N287" s="116">
        <f t="shared" si="9"/>
        <v>252.5</v>
      </c>
    </row>
    <row r="288" ht="22.5" customHeight="1" spans="1:14">
      <c r="A288" s="113">
        <v>46309</v>
      </c>
      <c r="B288" s="114" t="s">
        <v>18</v>
      </c>
      <c r="C288" s="114">
        <v>10</v>
      </c>
      <c r="D288" s="114" t="s">
        <v>57</v>
      </c>
      <c r="E288" s="114">
        <v>42</v>
      </c>
      <c r="F288" s="114" t="s">
        <v>33</v>
      </c>
      <c r="G288" s="120">
        <v>70.5</v>
      </c>
      <c r="H288" s="120">
        <v>0</v>
      </c>
      <c r="I288" s="120">
        <v>105.5</v>
      </c>
      <c r="J288" s="120">
        <v>30.5</v>
      </c>
      <c r="K288" s="120">
        <v>50.5</v>
      </c>
      <c r="L288" s="116">
        <f t="shared" si="8"/>
        <v>257</v>
      </c>
      <c r="M288" s="116">
        <v>300</v>
      </c>
      <c r="N288" s="116">
        <f t="shared" si="9"/>
        <v>-43</v>
      </c>
    </row>
    <row r="289" ht="22.5" customHeight="1" spans="1:14">
      <c r="A289" s="113">
        <v>46310</v>
      </c>
      <c r="B289" s="114" t="s">
        <v>18</v>
      </c>
      <c r="C289" s="114">
        <v>10</v>
      </c>
      <c r="D289" s="114" t="s">
        <v>57</v>
      </c>
      <c r="E289" s="114">
        <v>42</v>
      </c>
      <c r="F289" s="114" t="s">
        <v>34</v>
      </c>
      <c r="G289" s="120">
        <v>60.5</v>
      </c>
      <c r="H289" s="120">
        <v>49.5</v>
      </c>
      <c r="I289" s="120">
        <v>0</v>
      </c>
      <c r="J289" s="120">
        <v>0</v>
      </c>
      <c r="K289" s="120">
        <v>56.5</v>
      </c>
      <c r="L289" s="116">
        <f t="shared" si="8"/>
        <v>166.5</v>
      </c>
      <c r="M289" s="116">
        <v>300</v>
      </c>
      <c r="N289" s="116">
        <f t="shared" si="9"/>
        <v>-133.5</v>
      </c>
    </row>
    <row r="290" ht="22.5" customHeight="1" spans="1:14">
      <c r="A290" s="113">
        <v>46311</v>
      </c>
      <c r="B290" s="114" t="s">
        <v>18</v>
      </c>
      <c r="C290" s="114">
        <v>10</v>
      </c>
      <c r="D290" s="114" t="s">
        <v>57</v>
      </c>
      <c r="E290" s="114">
        <v>42</v>
      </c>
      <c r="F290" s="114" t="s">
        <v>35</v>
      </c>
      <c r="G290" s="120">
        <v>110.5</v>
      </c>
      <c r="H290" s="120">
        <v>340.5</v>
      </c>
      <c r="I290" s="120">
        <v>155.5</v>
      </c>
      <c r="J290" s="120">
        <v>20.5</v>
      </c>
      <c r="K290" s="120">
        <v>0</v>
      </c>
      <c r="L290" s="116">
        <f t="shared" si="8"/>
        <v>627</v>
      </c>
      <c r="M290" s="116">
        <v>300</v>
      </c>
      <c r="N290" s="116">
        <f t="shared" si="9"/>
        <v>327</v>
      </c>
    </row>
    <row r="291" ht="22.5" customHeight="1" spans="1:14">
      <c r="A291" s="113">
        <v>46312</v>
      </c>
      <c r="B291" s="114" t="s">
        <v>18</v>
      </c>
      <c r="C291" s="114">
        <v>10</v>
      </c>
      <c r="D291" s="114" t="s">
        <v>57</v>
      </c>
      <c r="E291" s="114">
        <v>42</v>
      </c>
      <c r="F291" s="114" t="s">
        <v>36</v>
      </c>
      <c r="G291" s="115">
        <v>0</v>
      </c>
      <c r="H291" s="115">
        <v>0</v>
      </c>
      <c r="I291" s="115">
        <v>0</v>
      </c>
      <c r="J291" s="115">
        <v>0</v>
      </c>
      <c r="K291" s="115">
        <v>0</v>
      </c>
      <c r="L291" s="116">
        <f t="shared" si="8"/>
        <v>0</v>
      </c>
      <c r="M291" s="116">
        <v>300</v>
      </c>
      <c r="N291" s="116">
        <f t="shared" si="9"/>
        <v>0</v>
      </c>
    </row>
    <row r="292" ht="22.5" customHeight="1" spans="1:14">
      <c r="A292" s="113">
        <v>46313</v>
      </c>
      <c r="B292" s="114" t="s">
        <v>18</v>
      </c>
      <c r="C292" s="114">
        <v>10</v>
      </c>
      <c r="D292" s="114" t="s">
        <v>57</v>
      </c>
      <c r="E292" s="114">
        <v>43</v>
      </c>
      <c r="F292" s="114" t="s">
        <v>30</v>
      </c>
      <c r="G292" s="115">
        <v>0</v>
      </c>
      <c r="H292" s="115">
        <v>0</v>
      </c>
      <c r="I292" s="115">
        <v>0</v>
      </c>
      <c r="J292" s="115">
        <v>0</v>
      </c>
      <c r="K292" s="115">
        <v>0</v>
      </c>
      <c r="L292" s="116">
        <f t="shared" si="8"/>
        <v>0</v>
      </c>
      <c r="M292" s="116">
        <v>300</v>
      </c>
      <c r="N292" s="116">
        <f t="shared" si="9"/>
        <v>0</v>
      </c>
    </row>
    <row r="293" ht="22.5" customHeight="1" spans="1:14">
      <c r="A293" s="113">
        <v>46314</v>
      </c>
      <c r="B293" s="114" t="s">
        <v>18</v>
      </c>
      <c r="C293" s="114">
        <v>10</v>
      </c>
      <c r="D293" s="114" t="s">
        <v>57</v>
      </c>
      <c r="E293" s="114">
        <v>43</v>
      </c>
      <c r="F293" s="114" t="s">
        <v>31</v>
      </c>
      <c r="G293" s="120">
        <v>60.5</v>
      </c>
      <c r="H293" s="120">
        <v>215.5</v>
      </c>
      <c r="I293" s="120">
        <v>105.5</v>
      </c>
      <c r="J293" s="120">
        <v>0</v>
      </c>
      <c r="K293" s="120">
        <v>0</v>
      </c>
      <c r="L293" s="116">
        <f t="shared" si="8"/>
        <v>381.5</v>
      </c>
      <c r="M293" s="116">
        <v>300</v>
      </c>
      <c r="N293" s="116">
        <f t="shared" si="9"/>
        <v>81.5</v>
      </c>
    </row>
    <row r="294" ht="22.5" customHeight="1" spans="1:14">
      <c r="A294" s="113">
        <v>46315</v>
      </c>
      <c r="B294" s="114" t="s">
        <v>18</v>
      </c>
      <c r="C294" s="114">
        <v>10</v>
      </c>
      <c r="D294" s="114" t="s">
        <v>57</v>
      </c>
      <c r="E294" s="114">
        <v>43</v>
      </c>
      <c r="F294" s="114" t="s">
        <v>32</v>
      </c>
      <c r="G294" s="120">
        <v>70.5</v>
      </c>
      <c r="H294" s="120">
        <v>0</v>
      </c>
      <c r="I294" s="120">
        <v>0</v>
      </c>
      <c r="J294" s="120">
        <v>20.5</v>
      </c>
      <c r="K294" s="120">
        <v>30.5</v>
      </c>
      <c r="L294" s="116">
        <f t="shared" si="8"/>
        <v>121.5</v>
      </c>
      <c r="M294" s="116">
        <v>300</v>
      </c>
      <c r="N294" s="116">
        <f t="shared" si="9"/>
        <v>-178.5</v>
      </c>
    </row>
    <row r="295" ht="22.5" customHeight="1" spans="1:14">
      <c r="A295" s="113">
        <v>46316</v>
      </c>
      <c r="B295" s="114" t="s">
        <v>18</v>
      </c>
      <c r="C295" s="114">
        <v>10</v>
      </c>
      <c r="D295" s="114" t="s">
        <v>57</v>
      </c>
      <c r="E295" s="114">
        <v>43</v>
      </c>
      <c r="F295" s="114" t="s">
        <v>33</v>
      </c>
      <c r="G295" s="120">
        <v>34.5</v>
      </c>
      <c r="H295" s="120">
        <v>67.5</v>
      </c>
      <c r="I295" s="120">
        <v>0</v>
      </c>
      <c r="J295" s="120">
        <v>0</v>
      </c>
      <c r="K295" s="120">
        <v>130.5</v>
      </c>
      <c r="L295" s="116">
        <f t="shared" si="8"/>
        <v>232.5</v>
      </c>
      <c r="M295" s="116">
        <v>300</v>
      </c>
      <c r="N295" s="116">
        <f t="shared" si="9"/>
        <v>-67.5</v>
      </c>
    </row>
    <row r="296" ht="22.5" customHeight="1" spans="1:14">
      <c r="A296" s="113">
        <v>46317</v>
      </c>
      <c r="B296" s="114" t="s">
        <v>18</v>
      </c>
      <c r="C296" s="114">
        <v>10</v>
      </c>
      <c r="D296" s="114" t="s">
        <v>57</v>
      </c>
      <c r="E296" s="114">
        <v>43</v>
      </c>
      <c r="F296" s="114" t="s">
        <v>34</v>
      </c>
      <c r="G296" s="120">
        <v>75.5</v>
      </c>
      <c r="H296" s="120">
        <v>165.5</v>
      </c>
      <c r="I296" s="120">
        <v>60.5</v>
      </c>
      <c r="J296" s="120">
        <v>0</v>
      </c>
      <c r="K296" s="120">
        <v>100.5</v>
      </c>
      <c r="L296" s="116">
        <f t="shared" si="8"/>
        <v>402</v>
      </c>
      <c r="M296" s="116">
        <v>300</v>
      </c>
      <c r="N296" s="116">
        <f t="shared" si="9"/>
        <v>102</v>
      </c>
    </row>
    <row r="297" ht="22.5" customHeight="1" spans="1:14">
      <c r="A297" s="113">
        <v>46318</v>
      </c>
      <c r="B297" s="114" t="s">
        <v>18</v>
      </c>
      <c r="C297" s="114">
        <v>10</v>
      </c>
      <c r="D297" s="114" t="s">
        <v>57</v>
      </c>
      <c r="E297" s="114">
        <v>43</v>
      </c>
      <c r="F297" s="114" t="s">
        <v>35</v>
      </c>
      <c r="G297" s="120">
        <v>75.5</v>
      </c>
      <c r="H297" s="120">
        <v>200.5</v>
      </c>
      <c r="I297" s="120">
        <v>130.5</v>
      </c>
      <c r="J297" s="120">
        <v>15.5</v>
      </c>
      <c r="K297" s="120">
        <v>40.5</v>
      </c>
      <c r="L297" s="116">
        <f t="shared" si="8"/>
        <v>462.5</v>
      </c>
      <c r="M297" s="116">
        <v>300</v>
      </c>
      <c r="N297" s="116">
        <f t="shared" si="9"/>
        <v>162.5</v>
      </c>
    </row>
    <row r="298" ht="22.5" customHeight="1" spans="1:14">
      <c r="A298" s="113">
        <v>46319</v>
      </c>
      <c r="B298" s="114" t="s">
        <v>18</v>
      </c>
      <c r="C298" s="114">
        <v>10</v>
      </c>
      <c r="D298" s="114" t="s">
        <v>57</v>
      </c>
      <c r="E298" s="114">
        <v>43</v>
      </c>
      <c r="F298" s="114" t="s">
        <v>36</v>
      </c>
      <c r="G298" s="115">
        <v>0</v>
      </c>
      <c r="H298" s="115">
        <v>0</v>
      </c>
      <c r="I298" s="115">
        <v>0</v>
      </c>
      <c r="J298" s="115">
        <v>0</v>
      </c>
      <c r="K298" s="115">
        <v>0</v>
      </c>
      <c r="L298" s="116">
        <f t="shared" si="8"/>
        <v>0</v>
      </c>
      <c r="M298" s="116">
        <v>300</v>
      </c>
      <c r="N298" s="116">
        <f t="shared" si="9"/>
        <v>0</v>
      </c>
    </row>
    <row r="299" ht="22.5" customHeight="1" spans="1:14">
      <c r="A299" s="113">
        <v>46320</v>
      </c>
      <c r="B299" s="114" t="s">
        <v>18</v>
      </c>
      <c r="C299" s="114">
        <v>10</v>
      </c>
      <c r="D299" s="114" t="s">
        <v>57</v>
      </c>
      <c r="E299" s="114">
        <v>44</v>
      </c>
      <c r="F299" s="114" t="s">
        <v>30</v>
      </c>
      <c r="G299" s="115">
        <v>0</v>
      </c>
      <c r="H299" s="115">
        <v>0</v>
      </c>
      <c r="I299" s="115">
        <v>0</v>
      </c>
      <c r="J299" s="115">
        <v>0</v>
      </c>
      <c r="K299" s="115">
        <v>0</v>
      </c>
      <c r="L299" s="116">
        <f t="shared" si="8"/>
        <v>0</v>
      </c>
      <c r="M299" s="116">
        <v>300</v>
      </c>
      <c r="N299" s="116">
        <f t="shared" si="9"/>
        <v>0</v>
      </c>
    </row>
    <row r="300" ht="22.5" customHeight="1" spans="1:14">
      <c r="A300" s="113">
        <v>46321</v>
      </c>
      <c r="B300" s="114" t="s">
        <v>18</v>
      </c>
      <c r="C300" s="114">
        <v>10</v>
      </c>
      <c r="D300" s="114" t="s">
        <v>57</v>
      </c>
      <c r="E300" s="114">
        <v>44</v>
      </c>
      <c r="F300" s="114" t="s">
        <v>31</v>
      </c>
      <c r="G300" s="120">
        <v>50.5</v>
      </c>
      <c r="H300" s="120">
        <v>170.5</v>
      </c>
      <c r="I300" s="120">
        <v>85.5</v>
      </c>
      <c r="J300" s="120">
        <v>25.5</v>
      </c>
      <c r="K300" s="120">
        <v>0</v>
      </c>
      <c r="L300" s="116">
        <f t="shared" si="8"/>
        <v>332</v>
      </c>
      <c r="M300" s="116">
        <v>300</v>
      </c>
      <c r="N300" s="116">
        <f t="shared" si="9"/>
        <v>32</v>
      </c>
    </row>
    <row r="301" ht="22.5" customHeight="1" spans="1:14">
      <c r="A301" s="113">
        <v>46322</v>
      </c>
      <c r="B301" s="114" t="s">
        <v>18</v>
      </c>
      <c r="C301" s="114">
        <v>10</v>
      </c>
      <c r="D301" s="114" t="s">
        <v>57</v>
      </c>
      <c r="E301" s="114">
        <v>44</v>
      </c>
      <c r="F301" s="114" t="s">
        <v>32</v>
      </c>
      <c r="G301" s="120">
        <v>90.5</v>
      </c>
      <c r="H301" s="120">
        <v>235.5</v>
      </c>
      <c r="I301" s="120">
        <v>115.5</v>
      </c>
      <c r="J301" s="120">
        <v>20.5</v>
      </c>
      <c r="K301" s="120">
        <v>80.5</v>
      </c>
      <c r="L301" s="116">
        <f t="shared" si="8"/>
        <v>542.5</v>
      </c>
      <c r="M301" s="116">
        <v>300</v>
      </c>
      <c r="N301" s="116">
        <f t="shared" si="9"/>
        <v>242.5</v>
      </c>
    </row>
    <row r="302" ht="22.5" customHeight="1" spans="1:14">
      <c r="A302" s="113">
        <v>46323</v>
      </c>
      <c r="B302" s="114" t="s">
        <v>18</v>
      </c>
      <c r="C302" s="114">
        <v>10</v>
      </c>
      <c r="D302" s="114" t="s">
        <v>57</v>
      </c>
      <c r="E302" s="114">
        <v>44</v>
      </c>
      <c r="F302" s="114" t="s">
        <v>33</v>
      </c>
      <c r="G302" s="120">
        <v>60.5</v>
      </c>
      <c r="H302" s="120">
        <v>145.5</v>
      </c>
      <c r="I302" s="120">
        <v>0</v>
      </c>
      <c r="J302" s="120">
        <v>10.5</v>
      </c>
      <c r="K302" s="120">
        <v>30.5</v>
      </c>
      <c r="L302" s="116">
        <f t="shared" si="8"/>
        <v>247</v>
      </c>
      <c r="M302" s="116">
        <v>300</v>
      </c>
      <c r="N302" s="116">
        <f t="shared" si="9"/>
        <v>-53</v>
      </c>
    </row>
    <row r="303" ht="22.5" customHeight="1" spans="1:14">
      <c r="A303" s="113">
        <v>46324</v>
      </c>
      <c r="B303" s="114" t="s">
        <v>18</v>
      </c>
      <c r="C303" s="114">
        <v>10</v>
      </c>
      <c r="D303" s="114" t="s">
        <v>57</v>
      </c>
      <c r="E303" s="114">
        <v>44</v>
      </c>
      <c r="F303" s="114" t="s">
        <v>34</v>
      </c>
      <c r="G303" s="120">
        <v>55.5</v>
      </c>
      <c r="H303" s="120">
        <v>170.5</v>
      </c>
      <c r="I303" s="120">
        <v>90.5</v>
      </c>
      <c r="J303" s="120">
        <v>0</v>
      </c>
      <c r="K303" s="120">
        <v>65.5</v>
      </c>
      <c r="L303" s="116">
        <f t="shared" si="8"/>
        <v>382</v>
      </c>
      <c r="M303" s="116">
        <v>300</v>
      </c>
      <c r="N303" s="116">
        <f t="shared" si="9"/>
        <v>82</v>
      </c>
    </row>
    <row r="304" ht="22.5" customHeight="1" spans="1:14">
      <c r="A304" s="113">
        <v>46325</v>
      </c>
      <c r="B304" s="114" t="s">
        <v>18</v>
      </c>
      <c r="C304" s="114">
        <v>10</v>
      </c>
      <c r="D304" s="114" t="s">
        <v>57</v>
      </c>
      <c r="E304" s="114">
        <v>44</v>
      </c>
      <c r="F304" s="114" t="s">
        <v>35</v>
      </c>
      <c r="G304" s="120">
        <v>145.5</v>
      </c>
      <c r="H304" s="120">
        <v>280.5</v>
      </c>
      <c r="I304" s="120">
        <v>95.5</v>
      </c>
      <c r="J304" s="120">
        <v>0</v>
      </c>
      <c r="K304" s="120">
        <v>40.5</v>
      </c>
      <c r="L304" s="116">
        <f t="shared" si="8"/>
        <v>562</v>
      </c>
      <c r="M304" s="116">
        <v>300</v>
      </c>
      <c r="N304" s="116">
        <f t="shared" si="9"/>
        <v>262</v>
      </c>
    </row>
    <row r="305" ht="22.5" customHeight="1" spans="1:14">
      <c r="A305" s="113">
        <v>46326</v>
      </c>
      <c r="B305" s="114" t="s">
        <v>18</v>
      </c>
      <c r="C305" s="114">
        <v>10</v>
      </c>
      <c r="D305" s="114" t="s">
        <v>57</v>
      </c>
      <c r="E305" s="114">
        <v>44</v>
      </c>
      <c r="F305" s="114" t="s">
        <v>36</v>
      </c>
      <c r="G305" s="115">
        <v>0</v>
      </c>
      <c r="H305" s="115">
        <v>0</v>
      </c>
      <c r="I305" s="115">
        <v>0</v>
      </c>
      <c r="J305" s="115">
        <v>0</v>
      </c>
      <c r="K305" s="115">
        <v>0</v>
      </c>
      <c r="L305" s="116">
        <f t="shared" si="8"/>
        <v>0</v>
      </c>
      <c r="M305" s="116">
        <v>300</v>
      </c>
      <c r="N305" s="116">
        <f t="shared" si="9"/>
        <v>0</v>
      </c>
    </row>
    <row r="306" ht="22.5" customHeight="1" spans="1:14">
      <c r="A306" s="113">
        <v>46327</v>
      </c>
      <c r="B306" s="114" t="s">
        <v>19</v>
      </c>
      <c r="C306" s="114">
        <v>11</v>
      </c>
      <c r="D306" s="114" t="s">
        <v>57</v>
      </c>
      <c r="E306" s="114">
        <v>45</v>
      </c>
      <c r="F306" s="114" t="s">
        <v>30</v>
      </c>
      <c r="G306" s="115">
        <v>0</v>
      </c>
      <c r="H306" s="115">
        <v>0</v>
      </c>
      <c r="I306" s="115">
        <v>0</v>
      </c>
      <c r="J306" s="115">
        <v>0</v>
      </c>
      <c r="K306" s="115">
        <v>0</v>
      </c>
      <c r="L306" s="116">
        <f t="shared" si="8"/>
        <v>0</v>
      </c>
      <c r="M306" s="116">
        <v>300</v>
      </c>
      <c r="N306" s="116">
        <f t="shared" si="9"/>
        <v>0</v>
      </c>
    </row>
    <row r="307" ht="22.5" customHeight="1" spans="1:14">
      <c r="A307" s="113">
        <v>46328</v>
      </c>
      <c r="B307" s="114" t="s">
        <v>19</v>
      </c>
      <c r="C307" s="114">
        <v>11</v>
      </c>
      <c r="D307" s="114" t="s">
        <v>57</v>
      </c>
      <c r="E307" s="114">
        <v>45</v>
      </c>
      <c r="F307" s="114" t="s">
        <v>31</v>
      </c>
      <c r="G307" s="120">
        <v>55.5</v>
      </c>
      <c r="H307" s="120">
        <v>180.5</v>
      </c>
      <c r="I307" s="120">
        <v>120.5</v>
      </c>
      <c r="J307" s="120">
        <v>20.5</v>
      </c>
      <c r="K307" s="120">
        <v>0</v>
      </c>
      <c r="L307" s="116">
        <f t="shared" si="8"/>
        <v>377</v>
      </c>
      <c r="M307" s="116">
        <v>300</v>
      </c>
      <c r="N307" s="116">
        <f t="shared" si="9"/>
        <v>77</v>
      </c>
    </row>
    <row r="308" ht="22.5" customHeight="1" spans="1:14">
      <c r="A308" s="113">
        <v>46329</v>
      </c>
      <c r="B308" s="114" t="s">
        <v>19</v>
      </c>
      <c r="C308" s="114">
        <v>11</v>
      </c>
      <c r="D308" s="114" t="s">
        <v>57</v>
      </c>
      <c r="E308" s="114">
        <v>45</v>
      </c>
      <c r="F308" s="114" t="s">
        <v>32</v>
      </c>
      <c r="G308" s="120">
        <v>65.5</v>
      </c>
      <c r="H308" s="120">
        <v>150.5</v>
      </c>
      <c r="I308" s="120">
        <v>100.5</v>
      </c>
      <c r="J308" s="120">
        <v>15.5</v>
      </c>
      <c r="K308" s="120">
        <v>0</v>
      </c>
      <c r="L308" s="116">
        <f t="shared" si="8"/>
        <v>332</v>
      </c>
      <c r="M308" s="116">
        <v>300</v>
      </c>
      <c r="N308" s="116">
        <f t="shared" si="9"/>
        <v>32</v>
      </c>
    </row>
    <row r="309" ht="22.5" customHeight="1" spans="1:14">
      <c r="A309" s="113">
        <v>46330</v>
      </c>
      <c r="B309" s="114" t="s">
        <v>19</v>
      </c>
      <c r="C309" s="114">
        <v>11</v>
      </c>
      <c r="D309" s="114" t="s">
        <v>57</v>
      </c>
      <c r="E309" s="114">
        <v>45</v>
      </c>
      <c r="F309" s="114" t="s">
        <v>33</v>
      </c>
      <c r="G309" s="120">
        <v>95.5</v>
      </c>
      <c r="H309" s="120">
        <v>0</v>
      </c>
      <c r="I309" s="120">
        <v>100.5</v>
      </c>
      <c r="J309" s="120">
        <v>20.5</v>
      </c>
      <c r="K309" s="120">
        <v>50.5</v>
      </c>
      <c r="L309" s="116">
        <f t="shared" si="8"/>
        <v>267</v>
      </c>
      <c r="M309" s="116">
        <v>300</v>
      </c>
      <c r="N309" s="116">
        <f t="shared" si="9"/>
        <v>-33</v>
      </c>
    </row>
    <row r="310" ht="22.5" customHeight="1" spans="1:14">
      <c r="A310" s="113">
        <v>46331</v>
      </c>
      <c r="B310" s="114" t="s">
        <v>19</v>
      </c>
      <c r="C310" s="114">
        <v>11</v>
      </c>
      <c r="D310" s="114" t="s">
        <v>57</v>
      </c>
      <c r="E310" s="114">
        <v>45</v>
      </c>
      <c r="F310" s="114" t="s">
        <v>34</v>
      </c>
      <c r="G310" s="120">
        <v>115.5</v>
      </c>
      <c r="H310" s="120">
        <v>275.5</v>
      </c>
      <c r="I310" s="120">
        <v>135.5</v>
      </c>
      <c r="J310" s="120">
        <v>0</v>
      </c>
      <c r="K310" s="120">
        <v>30.5</v>
      </c>
      <c r="L310" s="116">
        <f t="shared" si="8"/>
        <v>557</v>
      </c>
      <c r="M310" s="116">
        <v>300</v>
      </c>
      <c r="N310" s="116">
        <f t="shared" si="9"/>
        <v>257</v>
      </c>
    </row>
    <row r="311" ht="22.5" customHeight="1" spans="1:14">
      <c r="A311" s="113">
        <v>46332</v>
      </c>
      <c r="B311" s="114" t="s">
        <v>19</v>
      </c>
      <c r="C311" s="114">
        <v>11</v>
      </c>
      <c r="D311" s="114" t="s">
        <v>57</v>
      </c>
      <c r="E311" s="114">
        <v>45</v>
      </c>
      <c r="F311" s="114" t="s">
        <v>35</v>
      </c>
      <c r="G311" s="120">
        <v>100.5</v>
      </c>
      <c r="H311" s="120">
        <v>255.5</v>
      </c>
      <c r="I311" s="120">
        <v>145.5</v>
      </c>
      <c r="J311" s="120">
        <v>30.5</v>
      </c>
      <c r="K311" s="120">
        <v>0</v>
      </c>
      <c r="L311" s="116">
        <f t="shared" si="8"/>
        <v>532</v>
      </c>
      <c r="M311" s="116">
        <v>300</v>
      </c>
      <c r="N311" s="116">
        <f t="shared" si="9"/>
        <v>232</v>
      </c>
    </row>
    <row r="312" ht="22.5" customHeight="1" spans="1:14">
      <c r="A312" s="113">
        <v>46333</v>
      </c>
      <c r="B312" s="114" t="s">
        <v>19</v>
      </c>
      <c r="C312" s="114">
        <v>11</v>
      </c>
      <c r="D312" s="114" t="s">
        <v>57</v>
      </c>
      <c r="E312" s="114">
        <v>45</v>
      </c>
      <c r="F312" s="114" t="s">
        <v>36</v>
      </c>
      <c r="G312" s="115">
        <v>0</v>
      </c>
      <c r="H312" s="115">
        <v>0</v>
      </c>
      <c r="I312" s="115">
        <v>0</v>
      </c>
      <c r="J312" s="115">
        <v>0</v>
      </c>
      <c r="K312" s="115">
        <v>0</v>
      </c>
      <c r="L312" s="116">
        <f t="shared" si="8"/>
        <v>0</v>
      </c>
      <c r="M312" s="116">
        <v>300</v>
      </c>
      <c r="N312" s="116">
        <f t="shared" si="9"/>
        <v>0</v>
      </c>
    </row>
    <row r="313" ht="22.5" customHeight="1" spans="1:14">
      <c r="A313" s="113">
        <v>46334</v>
      </c>
      <c r="B313" s="114" t="s">
        <v>19</v>
      </c>
      <c r="C313" s="114">
        <v>11</v>
      </c>
      <c r="D313" s="114" t="s">
        <v>57</v>
      </c>
      <c r="E313" s="114">
        <v>46</v>
      </c>
      <c r="F313" s="114" t="s">
        <v>30</v>
      </c>
      <c r="G313" s="115">
        <v>0</v>
      </c>
      <c r="H313" s="115">
        <v>0</v>
      </c>
      <c r="I313" s="115">
        <v>0</v>
      </c>
      <c r="J313" s="115">
        <v>0</v>
      </c>
      <c r="K313" s="115">
        <v>0</v>
      </c>
      <c r="L313" s="116">
        <f t="shared" si="8"/>
        <v>0</v>
      </c>
      <c r="M313" s="116">
        <v>300</v>
      </c>
      <c r="N313" s="116">
        <f t="shared" si="9"/>
        <v>0</v>
      </c>
    </row>
    <row r="314" ht="22.5" customHeight="1" spans="1:14">
      <c r="A314" s="113">
        <v>46335</v>
      </c>
      <c r="B314" s="114" t="s">
        <v>19</v>
      </c>
      <c r="C314" s="114">
        <v>11</v>
      </c>
      <c r="D314" s="114" t="s">
        <v>57</v>
      </c>
      <c r="E314" s="114">
        <v>46</v>
      </c>
      <c r="F314" s="114" t="s">
        <v>31</v>
      </c>
      <c r="G314" s="120">
        <v>80.5</v>
      </c>
      <c r="H314" s="120">
        <v>165.5</v>
      </c>
      <c r="I314" s="120">
        <v>95.5</v>
      </c>
      <c r="J314" s="120">
        <v>10.5</v>
      </c>
      <c r="K314" s="120">
        <v>120.5</v>
      </c>
      <c r="L314" s="116">
        <f t="shared" si="8"/>
        <v>472.5</v>
      </c>
      <c r="M314" s="116">
        <v>300</v>
      </c>
      <c r="N314" s="116">
        <f t="shared" si="9"/>
        <v>172.5</v>
      </c>
    </row>
    <row r="315" ht="22.5" customHeight="1" spans="1:14">
      <c r="A315" s="113">
        <v>46336</v>
      </c>
      <c r="B315" s="114" t="s">
        <v>19</v>
      </c>
      <c r="C315" s="114">
        <v>11</v>
      </c>
      <c r="D315" s="114" t="s">
        <v>57</v>
      </c>
      <c r="E315" s="114">
        <v>46</v>
      </c>
      <c r="F315" s="114" t="s">
        <v>32</v>
      </c>
      <c r="G315" s="120">
        <v>30.5</v>
      </c>
      <c r="H315" s="120">
        <v>175.5</v>
      </c>
      <c r="I315" s="120">
        <v>75.5</v>
      </c>
      <c r="J315" s="120">
        <v>0</v>
      </c>
      <c r="K315" s="120">
        <v>0</v>
      </c>
      <c r="L315" s="116">
        <f t="shared" si="8"/>
        <v>281.5</v>
      </c>
      <c r="M315" s="116">
        <v>300</v>
      </c>
      <c r="N315" s="116">
        <f t="shared" si="9"/>
        <v>-18.5</v>
      </c>
    </row>
    <row r="316" ht="22.5" customHeight="1" spans="1:14">
      <c r="A316" s="113">
        <v>46337</v>
      </c>
      <c r="B316" s="114" t="s">
        <v>19</v>
      </c>
      <c r="C316" s="114">
        <v>11</v>
      </c>
      <c r="D316" s="114" t="s">
        <v>57</v>
      </c>
      <c r="E316" s="114">
        <v>46</v>
      </c>
      <c r="F316" s="114" t="s">
        <v>33</v>
      </c>
      <c r="G316" s="120">
        <v>90.5</v>
      </c>
      <c r="H316" s="120">
        <v>240.5</v>
      </c>
      <c r="I316" s="120">
        <v>75.5</v>
      </c>
      <c r="J316" s="120">
        <v>25.5</v>
      </c>
      <c r="K316" s="120">
        <v>50.5</v>
      </c>
      <c r="L316" s="116">
        <f t="shared" si="8"/>
        <v>482.5</v>
      </c>
      <c r="M316" s="116">
        <v>300</v>
      </c>
      <c r="N316" s="116">
        <f t="shared" si="9"/>
        <v>182.5</v>
      </c>
    </row>
    <row r="317" ht="22.5" customHeight="1" spans="1:14">
      <c r="A317" s="113">
        <v>46338</v>
      </c>
      <c r="B317" s="114" t="s">
        <v>19</v>
      </c>
      <c r="C317" s="114">
        <v>11</v>
      </c>
      <c r="D317" s="114" t="s">
        <v>57</v>
      </c>
      <c r="E317" s="114">
        <v>46</v>
      </c>
      <c r="F317" s="114" t="s">
        <v>34</v>
      </c>
      <c r="G317" s="120">
        <v>45.5</v>
      </c>
      <c r="H317" s="120">
        <v>0</v>
      </c>
      <c r="I317" s="120">
        <v>0</v>
      </c>
      <c r="J317" s="120">
        <v>30.5</v>
      </c>
      <c r="K317" s="120">
        <v>40.5</v>
      </c>
      <c r="L317" s="116">
        <f t="shared" si="8"/>
        <v>116.5</v>
      </c>
      <c r="M317" s="116">
        <v>300</v>
      </c>
      <c r="N317" s="116">
        <f t="shared" si="9"/>
        <v>-183.5</v>
      </c>
    </row>
    <row r="318" ht="22.5" customHeight="1" spans="1:14">
      <c r="A318" s="113">
        <v>46339</v>
      </c>
      <c r="B318" s="114" t="s">
        <v>19</v>
      </c>
      <c r="C318" s="114">
        <v>11</v>
      </c>
      <c r="D318" s="114" t="s">
        <v>57</v>
      </c>
      <c r="E318" s="114">
        <v>46</v>
      </c>
      <c r="F318" s="114" t="s">
        <v>35</v>
      </c>
      <c r="G318" s="120">
        <v>90.5</v>
      </c>
      <c r="H318" s="120">
        <v>225.5</v>
      </c>
      <c r="I318" s="120">
        <v>0</v>
      </c>
      <c r="J318" s="120">
        <v>15.5</v>
      </c>
      <c r="K318" s="120">
        <v>90.5</v>
      </c>
      <c r="L318" s="116">
        <f t="shared" si="8"/>
        <v>422</v>
      </c>
      <c r="M318" s="116">
        <v>300</v>
      </c>
      <c r="N318" s="116">
        <f t="shared" si="9"/>
        <v>122</v>
      </c>
    </row>
    <row r="319" ht="22.5" customHeight="1" spans="1:14">
      <c r="A319" s="113">
        <v>46340</v>
      </c>
      <c r="B319" s="114" t="s">
        <v>19</v>
      </c>
      <c r="C319" s="114">
        <v>11</v>
      </c>
      <c r="D319" s="114" t="s">
        <v>57</v>
      </c>
      <c r="E319" s="114">
        <v>46</v>
      </c>
      <c r="F319" s="114" t="s">
        <v>36</v>
      </c>
      <c r="G319" s="115">
        <v>0</v>
      </c>
      <c r="H319" s="115">
        <v>0</v>
      </c>
      <c r="I319" s="115">
        <v>0</v>
      </c>
      <c r="J319" s="115">
        <v>0</v>
      </c>
      <c r="K319" s="115">
        <v>0</v>
      </c>
      <c r="L319" s="116">
        <f t="shared" si="8"/>
        <v>0</v>
      </c>
      <c r="M319" s="116">
        <v>300</v>
      </c>
      <c r="N319" s="116">
        <f t="shared" si="9"/>
        <v>0</v>
      </c>
    </row>
    <row r="320" ht="22.5" customHeight="1" spans="1:14">
      <c r="A320" s="113">
        <v>46341</v>
      </c>
      <c r="B320" s="114" t="s">
        <v>19</v>
      </c>
      <c r="C320" s="114">
        <v>11</v>
      </c>
      <c r="D320" s="114" t="s">
        <v>57</v>
      </c>
      <c r="E320" s="114">
        <v>47</v>
      </c>
      <c r="F320" s="114" t="s">
        <v>30</v>
      </c>
      <c r="G320" s="115">
        <v>0</v>
      </c>
      <c r="H320" s="115">
        <v>0</v>
      </c>
      <c r="I320" s="115">
        <v>0</v>
      </c>
      <c r="J320" s="115">
        <v>0</v>
      </c>
      <c r="K320" s="115">
        <v>0</v>
      </c>
      <c r="L320" s="116">
        <f t="shared" si="8"/>
        <v>0</v>
      </c>
      <c r="M320" s="116">
        <v>300</v>
      </c>
      <c r="N320" s="116">
        <f t="shared" si="9"/>
        <v>0</v>
      </c>
    </row>
    <row r="321" ht="22.5" customHeight="1" spans="1:14">
      <c r="A321" s="113">
        <v>46342</v>
      </c>
      <c r="B321" s="114" t="s">
        <v>19</v>
      </c>
      <c r="C321" s="114">
        <v>11</v>
      </c>
      <c r="D321" s="114" t="s">
        <v>57</v>
      </c>
      <c r="E321" s="114">
        <v>47</v>
      </c>
      <c r="F321" s="114" t="s">
        <v>31</v>
      </c>
      <c r="G321" s="120">
        <v>34.5</v>
      </c>
      <c r="H321" s="120">
        <v>120.5</v>
      </c>
      <c r="I321" s="120">
        <v>0</v>
      </c>
      <c r="J321" s="120">
        <v>0</v>
      </c>
      <c r="K321" s="120">
        <v>120.5</v>
      </c>
      <c r="L321" s="116">
        <f t="shared" si="8"/>
        <v>275.5</v>
      </c>
      <c r="M321" s="116">
        <v>300</v>
      </c>
      <c r="N321" s="116">
        <f t="shared" si="9"/>
        <v>-24.5</v>
      </c>
    </row>
    <row r="322" ht="22.5" customHeight="1" spans="1:14">
      <c r="A322" s="113">
        <v>46343</v>
      </c>
      <c r="B322" s="114" t="s">
        <v>19</v>
      </c>
      <c r="C322" s="114">
        <v>11</v>
      </c>
      <c r="D322" s="114" t="s">
        <v>57</v>
      </c>
      <c r="E322" s="114">
        <v>47</v>
      </c>
      <c r="F322" s="114" t="s">
        <v>32</v>
      </c>
      <c r="G322" s="120">
        <v>45.5</v>
      </c>
      <c r="H322" s="120">
        <v>185.5</v>
      </c>
      <c r="I322" s="120">
        <v>95.5</v>
      </c>
      <c r="J322" s="120">
        <v>0</v>
      </c>
      <c r="K322" s="120">
        <v>100.5</v>
      </c>
      <c r="L322" s="116">
        <f t="shared" si="8"/>
        <v>427</v>
      </c>
      <c r="M322" s="116">
        <v>300</v>
      </c>
      <c r="N322" s="116">
        <f t="shared" si="9"/>
        <v>127</v>
      </c>
    </row>
    <row r="323" ht="22.5" customHeight="1" spans="1:14">
      <c r="A323" s="113">
        <v>46344</v>
      </c>
      <c r="B323" s="114" t="s">
        <v>19</v>
      </c>
      <c r="C323" s="114">
        <v>11</v>
      </c>
      <c r="D323" s="114" t="s">
        <v>57</v>
      </c>
      <c r="E323" s="114">
        <v>47</v>
      </c>
      <c r="F323" s="114" t="s">
        <v>33</v>
      </c>
      <c r="G323" s="120">
        <v>68.5</v>
      </c>
      <c r="H323" s="120">
        <v>60.5</v>
      </c>
      <c r="I323" s="120">
        <v>0</v>
      </c>
      <c r="J323" s="120">
        <v>0</v>
      </c>
      <c r="K323" s="120">
        <v>70.5</v>
      </c>
      <c r="L323" s="116">
        <f t="shared" ref="L323:L366" si="10">SUM(G323:K323)</f>
        <v>199.5</v>
      </c>
      <c r="M323" s="116">
        <v>300</v>
      </c>
      <c r="N323" s="116">
        <f t="shared" ref="N323:N366" si="11">IF(L323=0,0,L323-M323)</f>
        <v>-100.5</v>
      </c>
    </row>
    <row r="324" ht="22.5" customHeight="1" spans="1:14">
      <c r="A324" s="113">
        <v>46345</v>
      </c>
      <c r="B324" s="114" t="s">
        <v>19</v>
      </c>
      <c r="C324" s="114">
        <v>11</v>
      </c>
      <c r="D324" s="114" t="s">
        <v>57</v>
      </c>
      <c r="E324" s="114">
        <v>47</v>
      </c>
      <c r="F324" s="114" t="s">
        <v>34</v>
      </c>
      <c r="G324" s="120">
        <v>90.5</v>
      </c>
      <c r="H324" s="120">
        <v>90.5</v>
      </c>
      <c r="I324" s="120">
        <v>0</v>
      </c>
      <c r="J324" s="120">
        <v>0</v>
      </c>
      <c r="K324" s="120">
        <v>200.5</v>
      </c>
      <c r="L324" s="116">
        <f t="shared" si="10"/>
        <v>381.5</v>
      </c>
      <c r="M324" s="116">
        <v>300</v>
      </c>
      <c r="N324" s="116">
        <f t="shared" si="11"/>
        <v>81.5</v>
      </c>
    </row>
    <row r="325" ht="22.5" customHeight="1" spans="1:14">
      <c r="A325" s="113">
        <v>46346</v>
      </c>
      <c r="B325" s="114" t="s">
        <v>19</v>
      </c>
      <c r="C325" s="114">
        <v>11</v>
      </c>
      <c r="D325" s="114" t="s">
        <v>57</v>
      </c>
      <c r="E325" s="114">
        <v>47</v>
      </c>
      <c r="F325" s="114" t="s">
        <v>35</v>
      </c>
      <c r="G325" s="120">
        <v>145.5</v>
      </c>
      <c r="H325" s="120">
        <v>230.5</v>
      </c>
      <c r="I325" s="120">
        <v>95.5</v>
      </c>
      <c r="J325" s="120">
        <v>10.5</v>
      </c>
      <c r="K325" s="120">
        <v>20.5</v>
      </c>
      <c r="L325" s="116">
        <f t="shared" si="10"/>
        <v>502.5</v>
      </c>
      <c r="M325" s="116">
        <v>300</v>
      </c>
      <c r="N325" s="116">
        <f t="shared" si="11"/>
        <v>202.5</v>
      </c>
    </row>
    <row r="326" ht="22.5" customHeight="1" spans="1:14">
      <c r="A326" s="113">
        <v>46347</v>
      </c>
      <c r="B326" s="114" t="s">
        <v>19</v>
      </c>
      <c r="C326" s="114">
        <v>11</v>
      </c>
      <c r="D326" s="114" t="s">
        <v>57</v>
      </c>
      <c r="E326" s="114">
        <v>47</v>
      </c>
      <c r="F326" s="114" t="s">
        <v>36</v>
      </c>
      <c r="G326" s="115">
        <v>0</v>
      </c>
      <c r="H326" s="115">
        <v>0</v>
      </c>
      <c r="I326" s="115">
        <v>0</v>
      </c>
      <c r="J326" s="115">
        <v>0</v>
      </c>
      <c r="K326" s="115">
        <v>0</v>
      </c>
      <c r="L326" s="116">
        <f t="shared" si="10"/>
        <v>0</v>
      </c>
      <c r="M326" s="116">
        <v>300</v>
      </c>
      <c r="N326" s="116">
        <f t="shared" si="11"/>
        <v>0</v>
      </c>
    </row>
    <row r="327" ht="22.5" customHeight="1" spans="1:14">
      <c r="A327" s="113">
        <v>46348</v>
      </c>
      <c r="B327" s="114" t="s">
        <v>19</v>
      </c>
      <c r="C327" s="114">
        <v>11</v>
      </c>
      <c r="D327" s="114" t="s">
        <v>57</v>
      </c>
      <c r="E327" s="114">
        <v>48</v>
      </c>
      <c r="F327" s="114" t="s">
        <v>30</v>
      </c>
      <c r="G327" s="115">
        <v>0</v>
      </c>
      <c r="H327" s="115">
        <v>0</v>
      </c>
      <c r="I327" s="115">
        <v>0</v>
      </c>
      <c r="J327" s="115">
        <v>0</v>
      </c>
      <c r="K327" s="115">
        <v>0</v>
      </c>
      <c r="L327" s="116">
        <f t="shared" si="10"/>
        <v>0</v>
      </c>
      <c r="M327" s="116">
        <v>300</v>
      </c>
      <c r="N327" s="116">
        <f t="shared" si="11"/>
        <v>0</v>
      </c>
    </row>
    <row r="328" ht="22.5" customHeight="1" spans="1:14">
      <c r="A328" s="113">
        <v>46349</v>
      </c>
      <c r="B328" s="114" t="s">
        <v>19</v>
      </c>
      <c r="C328" s="114">
        <v>11</v>
      </c>
      <c r="D328" s="114" t="s">
        <v>57</v>
      </c>
      <c r="E328" s="114">
        <v>48</v>
      </c>
      <c r="F328" s="114" t="s">
        <v>31</v>
      </c>
      <c r="G328" s="120">
        <v>75.5</v>
      </c>
      <c r="H328" s="120">
        <v>185.5</v>
      </c>
      <c r="I328" s="120">
        <v>110.5</v>
      </c>
      <c r="J328" s="120">
        <v>10.5</v>
      </c>
      <c r="K328" s="120">
        <v>0</v>
      </c>
      <c r="L328" s="116">
        <f t="shared" si="10"/>
        <v>382</v>
      </c>
      <c r="M328" s="116">
        <v>300</v>
      </c>
      <c r="N328" s="116">
        <f t="shared" si="11"/>
        <v>82</v>
      </c>
    </row>
    <row r="329" ht="22.5" customHeight="1" spans="1:14">
      <c r="A329" s="113">
        <v>46350</v>
      </c>
      <c r="B329" s="114" t="s">
        <v>19</v>
      </c>
      <c r="C329" s="114">
        <v>11</v>
      </c>
      <c r="D329" s="114" t="s">
        <v>57</v>
      </c>
      <c r="E329" s="114">
        <v>48</v>
      </c>
      <c r="F329" s="114" t="s">
        <v>32</v>
      </c>
      <c r="G329" s="120">
        <v>90.5</v>
      </c>
      <c r="H329" s="120">
        <v>200.5</v>
      </c>
      <c r="I329" s="120">
        <v>55.5</v>
      </c>
      <c r="J329" s="120">
        <v>30.5</v>
      </c>
      <c r="K329" s="120">
        <v>80.5</v>
      </c>
      <c r="L329" s="116">
        <f t="shared" si="10"/>
        <v>457.5</v>
      </c>
      <c r="M329" s="116">
        <v>300</v>
      </c>
      <c r="N329" s="116">
        <f t="shared" si="11"/>
        <v>157.5</v>
      </c>
    </row>
    <row r="330" ht="22.5" customHeight="1" spans="1:14">
      <c r="A330" s="113">
        <v>46351</v>
      </c>
      <c r="B330" s="114" t="s">
        <v>19</v>
      </c>
      <c r="C330" s="114">
        <v>11</v>
      </c>
      <c r="D330" s="114" t="s">
        <v>57</v>
      </c>
      <c r="E330" s="114">
        <v>48</v>
      </c>
      <c r="F330" s="114" t="s">
        <v>33</v>
      </c>
      <c r="G330" s="120">
        <v>45.5</v>
      </c>
      <c r="H330" s="120">
        <v>70.5</v>
      </c>
      <c r="I330" s="120">
        <v>0</v>
      </c>
      <c r="J330" s="120">
        <v>0</v>
      </c>
      <c r="K330" s="120">
        <v>80.5</v>
      </c>
      <c r="L330" s="116">
        <f t="shared" si="10"/>
        <v>196.5</v>
      </c>
      <c r="M330" s="116">
        <v>300</v>
      </c>
      <c r="N330" s="116">
        <f t="shared" si="11"/>
        <v>-103.5</v>
      </c>
    </row>
    <row r="331" ht="22.5" customHeight="1" spans="1:14">
      <c r="A331" s="113">
        <v>46352</v>
      </c>
      <c r="B331" s="114" t="s">
        <v>19</v>
      </c>
      <c r="C331" s="114">
        <v>11</v>
      </c>
      <c r="D331" s="114" t="s">
        <v>57</v>
      </c>
      <c r="E331" s="114">
        <v>48</v>
      </c>
      <c r="F331" s="114" t="s">
        <v>34</v>
      </c>
      <c r="G331" s="120">
        <v>90.5</v>
      </c>
      <c r="H331" s="120">
        <v>155.5</v>
      </c>
      <c r="I331" s="120">
        <v>70.5</v>
      </c>
      <c r="J331" s="120">
        <v>25.5</v>
      </c>
      <c r="K331" s="120">
        <v>120.5</v>
      </c>
      <c r="L331" s="116">
        <f t="shared" si="10"/>
        <v>462.5</v>
      </c>
      <c r="M331" s="116">
        <v>300</v>
      </c>
      <c r="N331" s="116">
        <f t="shared" si="11"/>
        <v>162.5</v>
      </c>
    </row>
    <row r="332" ht="22.5" customHeight="1" spans="1:14">
      <c r="A332" s="113">
        <v>46353</v>
      </c>
      <c r="B332" s="114" t="s">
        <v>19</v>
      </c>
      <c r="C332" s="114">
        <v>11</v>
      </c>
      <c r="D332" s="114" t="s">
        <v>57</v>
      </c>
      <c r="E332" s="114">
        <v>48</v>
      </c>
      <c r="F332" s="114" t="s">
        <v>35</v>
      </c>
      <c r="G332" s="120">
        <v>0</v>
      </c>
      <c r="H332" s="120">
        <v>0</v>
      </c>
      <c r="I332" s="120">
        <v>0</v>
      </c>
      <c r="J332" s="120">
        <v>0</v>
      </c>
      <c r="K332" s="120">
        <v>0</v>
      </c>
      <c r="L332" s="116">
        <f t="shared" si="10"/>
        <v>0</v>
      </c>
      <c r="M332" s="116">
        <v>300</v>
      </c>
      <c r="N332" s="116">
        <f t="shared" si="11"/>
        <v>0</v>
      </c>
    </row>
    <row r="333" ht="22.5" customHeight="1" spans="1:14">
      <c r="A333" s="113">
        <v>46354</v>
      </c>
      <c r="B333" s="114" t="s">
        <v>19</v>
      </c>
      <c r="C333" s="114">
        <v>11</v>
      </c>
      <c r="D333" s="114" t="s">
        <v>57</v>
      </c>
      <c r="E333" s="114">
        <v>48</v>
      </c>
      <c r="F333" s="114" t="s">
        <v>36</v>
      </c>
      <c r="G333" s="115">
        <v>0</v>
      </c>
      <c r="H333" s="115">
        <v>0</v>
      </c>
      <c r="I333" s="115">
        <v>0</v>
      </c>
      <c r="J333" s="115">
        <v>0</v>
      </c>
      <c r="K333" s="115">
        <v>0</v>
      </c>
      <c r="L333" s="116">
        <f t="shared" si="10"/>
        <v>0</v>
      </c>
      <c r="M333" s="116">
        <v>300</v>
      </c>
      <c r="N333" s="116">
        <f t="shared" si="11"/>
        <v>0</v>
      </c>
    </row>
    <row r="334" ht="22.5" customHeight="1" spans="1:14">
      <c r="A334" s="113">
        <v>46355</v>
      </c>
      <c r="B334" s="114" t="s">
        <v>19</v>
      </c>
      <c r="C334" s="114">
        <v>11</v>
      </c>
      <c r="D334" s="114" t="s">
        <v>57</v>
      </c>
      <c r="E334" s="114">
        <v>49</v>
      </c>
      <c r="F334" s="114" t="s">
        <v>30</v>
      </c>
      <c r="G334" s="115">
        <v>0</v>
      </c>
      <c r="H334" s="115">
        <v>0</v>
      </c>
      <c r="I334" s="115">
        <v>0</v>
      </c>
      <c r="J334" s="115">
        <v>0</v>
      </c>
      <c r="K334" s="115">
        <v>0</v>
      </c>
      <c r="L334" s="116">
        <f t="shared" si="10"/>
        <v>0</v>
      </c>
      <c r="M334" s="116">
        <v>300</v>
      </c>
      <c r="N334" s="116">
        <f t="shared" si="11"/>
        <v>0</v>
      </c>
    </row>
    <row r="335" ht="22.5" customHeight="1" spans="1:14">
      <c r="A335" s="113">
        <v>46356</v>
      </c>
      <c r="B335" s="114" t="s">
        <v>19</v>
      </c>
      <c r="C335" s="114">
        <v>11</v>
      </c>
      <c r="D335" s="114" t="s">
        <v>57</v>
      </c>
      <c r="E335" s="114">
        <v>49</v>
      </c>
      <c r="F335" s="114" t="s">
        <v>31</v>
      </c>
      <c r="G335" s="120">
        <v>75.5</v>
      </c>
      <c r="H335" s="120">
        <v>165.5</v>
      </c>
      <c r="I335" s="120">
        <v>100.5</v>
      </c>
      <c r="J335" s="120">
        <v>30.5</v>
      </c>
      <c r="K335" s="120">
        <v>0</v>
      </c>
      <c r="L335" s="116">
        <f t="shared" si="10"/>
        <v>372</v>
      </c>
      <c r="M335" s="116">
        <v>300</v>
      </c>
      <c r="N335" s="116">
        <f t="shared" si="11"/>
        <v>72</v>
      </c>
    </row>
    <row r="336" ht="22.5" customHeight="1" spans="1:14">
      <c r="A336" s="113">
        <v>46357</v>
      </c>
      <c r="B336" s="114" t="s">
        <v>22</v>
      </c>
      <c r="C336" s="114">
        <v>12</v>
      </c>
      <c r="D336" s="114" t="s">
        <v>57</v>
      </c>
      <c r="E336" s="114">
        <v>49</v>
      </c>
      <c r="F336" s="114" t="s">
        <v>32</v>
      </c>
      <c r="G336" s="120">
        <v>60.5</v>
      </c>
      <c r="H336" s="120">
        <v>195.5</v>
      </c>
      <c r="I336" s="120">
        <v>0</v>
      </c>
      <c r="J336" s="120">
        <v>0</v>
      </c>
      <c r="K336" s="120">
        <v>54.5</v>
      </c>
      <c r="L336" s="116">
        <f t="shared" si="10"/>
        <v>310.5</v>
      </c>
      <c r="M336" s="116">
        <v>300</v>
      </c>
      <c r="N336" s="116">
        <f t="shared" si="11"/>
        <v>10.5</v>
      </c>
    </row>
    <row r="337" ht="22.5" customHeight="1" spans="1:14">
      <c r="A337" s="113">
        <v>46358</v>
      </c>
      <c r="B337" s="114" t="s">
        <v>22</v>
      </c>
      <c r="C337" s="114">
        <v>12</v>
      </c>
      <c r="D337" s="114" t="s">
        <v>57</v>
      </c>
      <c r="E337" s="114">
        <v>49</v>
      </c>
      <c r="F337" s="114" t="s">
        <v>33</v>
      </c>
      <c r="G337" s="120">
        <v>95.5</v>
      </c>
      <c r="H337" s="120">
        <v>0</v>
      </c>
      <c r="I337" s="120">
        <v>130.5</v>
      </c>
      <c r="J337" s="120">
        <v>10.5</v>
      </c>
      <c r="K337" s="120">
        <v>90.5</v>
      </c>
      <c r="L337" s="116">
        <f t="shared" si="10"/>
        <v>327</v>
      </c>
      <c r="M337" s="116">
        <v>300</v>
      </c>
      <c r="N337" s="116">
        <f t="shared" si="11"/>
        <v>27</v>
      </c>
    </row>
    <row r="338" ht="22.5" customHeight="1" spans="1:14">
      <c r="A338" s="113">
        <v>46359</v>
      </c>
      <c r="B338" s="114" t="s">
        <v>22</v>
      </c>
      <c r="C338" s="114">
        <v>12</v>
      </c>
      <c r="D338" s="114" t="s">
        <v>57</v>
      </c>
      <c r="E338" s="114">
        <v>49</v>
      </c>
      <c r="F338" s="114" t="s">
        <v>34</v>
      </c>
      <c r="G338" s="120">
        <v>115.5</v>
      </c>
      <c r="H338" s="120">
        <v>180.5</v>
      </c>
      <c r="I338" s="120">
        <v>0</v>
      </c>
      <c r="J338" s="120">
        <v>30.5</v>
      </c>
      <c r="K338" s="120">
        <v>76.5</v>
      </c>
      <c r="L338" s="116">
        <f t="shared" si="10"/>
        <v>403</v>
      </c>
      <c r="M338" s="116">
        <v>300</v>
      </c>
      <c r="N338" s="116">
        <f t="shared" si="11"/>
        <v>103</v>
      </c>
    </row>
    <row r="339" ht="22.5" customHeight="1" spans="1:14">
      <c r="A339" s="113">
        <v>46360</v>
      </c>
      <c r="B339" s="114" t="s">
        <v>22</v>
      </c>
      <c r="C339" s="114">
        <v>12</v>
      </c>
      <c r="D339" s="114" t="s">
        <v>57</v>
      </c>
      <c r="E339" s="114">
        <v>49</v>
      </c>
      <c r="F339" s="114" t="s">
        <v>35</v>
      </c>
      <c r="G339" s="120">
        <v>34.5</v>
      </c>
      <c r="H339" s="120">
        <v>110.5</v>
      </c>
      <c r="I339" s="120">
        <v>0</v>
      </c>
      <c r="J339" s="120">
        <v>0</v>
      </c>
      <c r="K339" s="120">
        <v>90.5</v>
      </c>
      <c r="L339" s="116">
        <f t="shared" si="10"/>
        <v>235.5</v>
      </c>
      <c r="M339" s="116">
        <v>300</v>
      </c>
      <c r="N339" s="116">
        <f t="shared" si="11"/>
        <v>-64.5</v>
      </c>
    </row>
    <row r="340" ht="22.5" customHeight="1" spans="1:14">
      <c r="A340" s="113">
        <v>46361</v>
      </c>
      <c r="B340" s="114" t="s">
        <v>22</v>
      </c>
      <c r="C340" s="114">
        <v>12</v>
      </c>
      <c r="D340" s="114" t="s">
        <v>57</v>
      </c>
      <c r="E340" s="114">
        <v>49</v>
      </c>
      <c r="F340" s="114" t="s">
        <v>36</v>
      </c>
      <c r="G340" s="115">
        <v>0</v>
      </c>
      <c r="H340" s="115">
        <v>0</v>
      </c>
      <c r="I340" s="115">
        <v>0</v>
      </c>
      <c r="J340" s="115">
        <v>0</v>
      </c>
      <c r="K340" s="115">
        <v>0</v>
      </c>
      <c r="L340" s="116">
        <f t="shared" si="10"/>
        <v>0</v>
      </c>
      <c r="M340" s="116">
        <v>300</v>
      </c>
      <c r="N340" s="116">
        <f t="shared" si="11"/>
        <v>0</v>
      </c>
    </row>
    <row r="341" ht="22.5" customHeight="1" spans="1:14">
      <c r="A341" s="113">
        <v>46362</v>
      </c>
      <c r="B341" s="114" t="s">
        <v>22</v>
      </c>
      <c r="C341" s="114">
        <v>12</v>
      </c>
      <c r="D341" s="114" t="s">
        <v>57</v>
      </c>
      <c r="E341" s="114">
        <v>50</v>
      </c>
      <c r="F341" s="114" t="s">
        <v>30</v>
      </c>
      <c r="G341" s="115">
        <v>0</v>
      </c>
      <c r="H341" s="115">
        <v>0</v>
      </c>
      <c r="I341" s="115">
        <v>0</v>
      </c>
      <c r="J341" s="115">
        <v>0</v>
      </c>
      <c r="K341" s="115">
        <v>0</v>
      </c>
      <c r="L341" s="116">
        <f t="shared" si="10"/>
        <v>0</v>
      </c>
      <c r="M341" s="116">
        <v>300</v>
      </c>
      <c r="N341" s="116">
        <f t="shared" si="11"/>
        <v>0</v>
      </c>
    </row>
    <row r="342" ht="22.5" customHeight="1" spans="1:14">
      <c r="A342" s="113">
        <v>46363</v>
      </c>
      <c r="B342" s="114" t="s">
        <v>22</v>
      </c>
      <c r="C342" s="114">
        <v>12</v>
      </c>
      <c r="D342" s="114" t="s">
        <v>57</v>
      </c>
      <c r="E342" s="114">
        <v>50</v>
      </c>
      <c r="F342" s="114" t="s">
        <v>31</v>
      </c>
      <c r="G342" s="120">
        <v>55.5</v>
      </c>
      <c r="H342" s="120">
        <v>230.5</v>
      </c>
      <c r="I342" s="120">
        <v>55.5</v>
      </c>
      <c r="J342" s="120">
        <v>30.5</v>
      </c>
      <c r="K342" s="120">
        <v>80.5</v>
      </c>
      <c r="L342" s="116">
        <f t="shared" si="10"/>
        <v>452.5</v>
      </c>
      <c r="M342" s="116">
        <v>300</v>
      </c>
      <c r="N342" s="116">
        <f t="shared" si="11"/>
        <v>152.5</v>
      </c>
    </row>
    <row r="343" ht="22.5" customHeight="1" spans="1:14">
      <c r="A343" s="113">
        <v>46364</v>
      </c>
      <c r="B343" s="114" t="s">
        <v>22</v>
      </c>
      <c r="C343" s="114">
        <v>12</v>
      </c>
      <c r="D343" s="114" t="s">
        <v>57</v>
      </c>
      <c r="E343" s="114">
        <v>50</v>
      </c>
      <c r="F343" s="114" t="s">
        <v>32</v>
      </c>
      <c r="G343" s="120">
        <v>50.5</v>
      </c>
      <c r="H343" s="120">
        <v>200.5</v>
      </c>
      <c r="I343" s="120">
        <v>115.5</v>
      </c>
      <c r="J343" s="120">
        <v>15.5</v>
      </c>
      <c r="K343" s="120">
        <v>0</v>
      </c>
      <c r="L343" s="116">
        <f t="shared" si="10"/>
        <v>382</v>
      </c>
      <c r="M343" s="116">
        <v>300</v>
      </c>
      <c r="N343" s="116">
        <f t="shared" si="11"/>
        <v>82</v>
      </c>
    </row>
    <row r="344" ht="22.5" customHeight="1" spans="1:14">
      <c r="A344" s="113">
        <v>46365</v>
      </c>
      <c r="B344" s="114" t="s">
        <v>22</v>
      </c>
      <c r="C344" s="114">
        <v>12</v>
      </c>
      <c r="D344" s="114" t="s">
        <v>57</v>
      </c>
      <c r="E344" s="114">
        <v>50</v>
      </c>
      <c r="F344" s="114" t="s">
        <v>33</v>
      </c>
      <c r="G344" s="120">
        <v>85.5</v>
      </c>
      <c r="H344" s="120">
        <v>175.5</v>
      </c>
      <c r="I344" s="120">
        <v>110.5</v>
      </c>
      <c r="J344" s="120">
        <v>15.5</v>
      </c>
      <c r="K344" s="120">
        <v>65.5</v>
      </c>
      <c r="L344" s="116">
        <f t="shared" si="10"/>
        <v>452.5</v>
      </c>
      <c r="M344" s="116">
        <v>300</v>
      </c>
      <c r="N344" s="116">
        <f t="shared" si="11"/>
        <v>152.5</v>
      </c>
    </row>
    <row r="345" ht="22.5" customHeight="1" spans="1:14">
      <c r="A345" s="113">
        <v>46366</v>
      </c>
      <c r="B345" s="114" t="s">
        <v>22</v>
      </c>
      <c r="C345" s="114">
        <v>12</v>
      </c>
      <c r="D345" s="114" t="s">
        <v>57</v>
      </c>
      <c r="E345" s="114">
        <v>50</v>
      </c>
      <c r="F345" s="114" t="s">
        <v>34</v>
      </c>
      <c r="G345" s="120">
        <v>45.5</v>
      </c>
      <c r="H345" s="120">
        <v>90.5</v>
      </c>
      <c r="I345" s="120">
        <v>0</v>
      </c>
      <c r="J345" s="120">
        <v>12.5</v>
      </c>
      <c r="K345" s="120">
        <v>0</v>
      </c>
      <c r="L345" s="116">
        <f t="shared" si="10"/>
        <v>148.5</v>
      </c>
      <c r="M345" s="116">
        <v>300</v>
      </c>
      <c r="N345" s="116">
        <f t="shared" si="11"/>
        <v>-151.5</v>
      </c>
    </row>
    <row r="346" ht="22.5" customHeight="1" spans="1:14">
      <c r="A346" s="113">
        <v>46367</v>
      </c>
      <c r="B346" s="114" t="s">
        <v>22</v>
      </c>
      <c r="C346" s="114">
        <v>12</v>
      </c>
      <c r="D346" s="114" t="s">
        <v>57</v>
      </c>
      <c r="E346" s="114">
        <v>50</v>
      </c>
      <c r="F346" s="114" t="s">
        <v>35</v>
      </c>
      <c r="G346" s="120">
        <v>25.5</v>
      </c>
      <c r="H346" s="120">
        <v>150.5</v>
      </c>
      <c r="I346" s="120">
        <v>0</v>
      </c>
      <c r="J346" s="120">
        <v>0</v>
      </c>
      <c r="K346" s="120">
        <v>35.5</v>
      </c>
      <c r="L346" s="116">
        <f t="shared" si="10"/>
        <v>211.5</v>
      </c>
      <c r="M346" s="116">
        <v>300</v>
      </c>
      <c r="N346" s="116">
        <f t="shared" si="11"/>
        <v>-88.5</v>
      </c>
    </row>
    <row r="347" ht="22.5" customHeight="1" spans="1:14">
      <c r="A347" s="113">
        <v>46368</v>
      </c>
      <c r="B347" s="114" t="s">
        <v>22</v>
      </c>
      <c r="C347" s="114">
        <v>12</v>
      </c>
      <c r="D347" s="114" t="s">
        <v>57</v>
      </c>
      <c r="E347" s="114">
        <v>50</v>
      </c>
      <c r="F347" s="114" t="s">
        <v>36</v>
      </c>
      <c r="G347" s="115">
        <v>0</v>
      </c>
      <c r="H347" s="115">
        <v>0</v>
      </c>
      <c r="I347" s="115">
        <v>0</v>
      </c>
      <c r="J347" s="115">
        <v>0</v>
      </c>
      <c r="K347" s="115">
        <v>0</v>
      </c>
      <c r="L347" s="116">
        <f t="shared" si="10"/>
        <v>0</v>
      </c>
      <c r="M347" s="116">
        <v>300</v>
      </c>
      <c r="N347" s="116">
        <f t="shared" si="11"/>
        <v>0</v>
      </c>
    </row>
    <row r="348" ht="22.5" customHeight="1" spans="1:14">
      <c r="A348" s="113">
        <v>46369</v>
      </c>
      <c r="B348" s="114" t="s">
        <v>22</v>
      </c>
      <c r="C348" s="114">
        <v>12</v>
      </c>
      <c r="D348" s="114" t="s">
        <v>57</v>
      </c>
      <c r="E348" s="114">
        <v>51</v>
      </c>
      <c r="F348" s="114" t="s">
        <v>30</v>
      </c>
      <c r="G348" s="115">
        <v>0</v>
      </c>
      <c r="H348" s="115">
        <v>0</v>
      </c>
      <c r="I348" s="115">
        <v>0</v>
      </c>
      <c r="J348" s="115">
        <v>0</v>
      </c>
      <c r="K348" s="115">
        <v>0</v>
      </c>
      <c r="L348" s="116">
        <f t="shared" si="10"/>
        <v>0</v>
      </c>
      <c r="M348" s="116">
        <v>300</v>
      </c>
      <c r="N348" s="116">
        <f t="shared" si="11"/>
        <v>0</v>
      </c>
    </row>
    <row r="349" ht="22.5" customHeight="1" spans="1:14">
      <c r="A349" s="113">
        <v>46370</v>
      </c>
      <c r="B349" s="114" t="s">
        <v>22</v>
      </c>
      <c r="C349" s="114">
        <v>12</v>
      </c>
      <c r="D349" s="114" t="s">
        <v>57</v>
      </c>
      <c r="E349" s="114">
        <v>51</v>
      </c>
      <c r="F349" s="114" t="s">
        <v>31</v>
      </c>
      <c r="G349" s="120">
        <v>0</v>
      </c>
      <c r="H349" s="120">
        <v>115.5</v>
      </c>
      <c r="I349" s="120">
        <v>0</v>
      </c>
      <c r="J349" s="120">
        <v>30.5</v>
      </c>
      <c r="K349" s="120">
        <v>0</v>
      </c>
      <c r="L349" s="116">
        <f t="shared" si="10"/>
        <v>146</v>
      </c>
      <c r="M349" s="116">
        <v>300</v>
      </c>
      <c r="N349" s="116">
        <f t="shared" si="11"/>
        <v>-154</v>
      </c>
    </row>
    <row r="350" ht="22.5" customHeight="1" spans="1:14">
      <c r="A350" s="113">
        <v>46371</v>
      </c>
      <c r="B350" s="114" t="s">
        <v>22</v>
      </c>
      <c r="C350" s="114">
        <v>12</v>
      </c>
      <c r="D350" s="114" t="s">
        <v>57</v>
      </c>
      <c r="E350" s="114">
        <v>51</v>
      </c>
      <c r="F350" s="114" t="s">
        <v>32</v>
      </c>
      <c r="G350" s="120">
        <v>90.5</v>
      </c>
      <c r="H350" s="120">
        <v>210.5</v>
      </c>
      <c r="I350" s="120">
        <v>0</v>
      </c>
      <c r="J350" s="120">
        <v>25.5</v>
      </c>
      <c r="K350" s="120">
        <v>65.5</v>
      </c>
      <c r="L350" s="116">
        <f t="shared" si="10"/>
        <v>392</v>
      </c>
      <c r="M350" s="116">
        <v>300</v>
      </c>
      <c r="N350" s="116">
        <f t="shared" si="11"/>
        <v>92</v>
      </c>
    </row>
    <row r="351" ht="22.5" customHeight="1" spans="1:14">
      <c r="A351" s="113">
        <v>46372</v>
      </c>
      <c r="B351" s="114" t="s">
        <v>22</v>
      </c>
      <c r="C351" s="114">
        <v>12</v>
      </c>
      <c r="D351" s="114" t="s">
        <v>57</v>
      </c>
      <c r="E351" s="114">
        <v>51</v>
      </c>
      <c r="F351" s="114" t="s">
        <v>33</v>
      </c>
      <c r="G351" s="120">
        <v>65.5</v>
      </c>
      <c r="H351" s="120">
        <v>220.5</v>
      </c>
      <c r="I351" s="120">
        <v>0</v>
      </c>
      <c r="J351" s="120">
        <v>10.5</v>
      </c>
      <c r="K351" s="120">
        <v>65.5</v>
      </c>
      <c r="L351" s="116">
        <f t="shared" si="10"/>
        <v>362</v>
      </c>
      <c r="M351" s="116">
        <v>300</v>
      </c>
      <c r="N351" s="116">
        <f t="shared" si="11"/>
        <v>62</v>
      </c>
    </row>
    <row r="352" ht="22.5" customHeight="1" spans="1:14">
      <c r="A352" s="113">
        <v>46373</v>
      </c>
      <c r="B352" s="114" t="s">
        <v>22</v>
      </c>
      <c r="C352" s="114">
        <v>12</v>
      </c>
      <c r="D352" s="114" t="s">
        <v>57</v>
      </c>
      <c r="E352" s="114">
        <v>51</v>
      </c>
      <c r="F352" s="114" t="s">
        <v>34</v>
      </c>
      <c r="G352" s="120">
        <v>90.5</v>
      </c>
      <c r="H352" s="120">
        <v>190.5</v>
      </c>
      <c r="I352" s="120">
        <v>0</v>
      </c>
      <c r="J352" s="120">
        <v>0</v>
      </c>
      <c r="K352" s="120">
        <v>100.5</v>
      </c>
      <c r="L352" s="116">
        <f t="shared" si="10"/>
        <v>381.5</v>
      </c>
      <c r="M352" s="116">
        <v>300</v>
      </c>
      <c r="N352" s="116">
        <f t="shared" si="11"/>
        <v>81.5</v>
      </c>
    </row>
    <row r="353" ht="22.5" customHeight="1" spans="1:14">
      <c r="A353" s="113">
        <v>46374</v>
      </c>
      <c r="B353" s="114" t="s">
        <v>22</v>
      </c>
      <c r="C353" s="114">
        <v>12</v>
      </c>
      <c r="D353" s="114" t="s">
        <v>57</v>
      </c>
      <c r="E353" s="114">
        <v>51</v>
      </c>
      <c r="F353" s="114" t="s">
        <v>35</v>
      </c>
      <c r="G353" s="120">
        <v>60.5</v>
      </c>
      <c r="H353" s="120">
        <v>235.5</v>
      </c>
      <c r="I353" s="120">
        <v>0</v>
      </c>
      <c r="J353" s="120">
        <v>25.5</v>
      </c>
      <c r="K353" s="120">
        <v>0</v>
      </c>
      <c r="L353" s="116">
        <f t="shared" si="10"/>
        <v>321.5</v>
      </c>
      <c r="M353" s="116">
        <v>300</v>
      </c>
      <c r="N353" s="116">
        <f t="shared" si="11"/>
        <v>21.5</v>
      </c>
    </row>
    <row r="354" ht="22.5" customHeight="1" spans="1:14">
      <c r="A354" s="113">
        <v>46375</v>
      </c>
      <c r="B354" s="114" t="s">
        <v>22</v>
      </c>
      <c r="C354" s="114">
        <v>12</v>
      </c>
      <c r="D354" s="114" t="s">
        <v>57</v>
      </c>
      <c r="E354" s="114">
        <v>51</v>
      </c>
      <c r="F354" s="114" t="s">
        <v>36</v>
      </c>
      <c r="G354" s="115">
        <v>0</v>
      </c>
      <c r="H354" s="115">
        <v>0</v>
      </c>
      <c r="I354" s="115">
        <v>0</v>
      </c>
      <c r="J354" s="115">
        <v>0</v>
      </c>
      <c r="K354" s="115">
        <v>0</v>
      </c>
      <c r="L354" s="116">
        <f t="shared" si="10"/>
        <v>0</v>
      </c>
      <c r="M354" s="116">
        <v>300</v>
      </c>
      <c r="N354" s="116">
        <f t="shared" si="11"/>
        <v>0</v>
      </c>
    </row>
    <row r="355" ht="22.5" customHeight="1" spans="1:14">
      <c r="A355" s="113">
        <v>46376</v>
      </c>
      <c r="B355" s="114" t="s">
        <v>22</v>
      </c>
      <c r="C355" s="114">
        <v>12</v>
      </c>
      <c r="D355" s="114" t="s">
        <v>57</v>
      </c>
      <c r="E355" s="114">
        <v>52</v>
      </c>
      <c r="F355" s="114" t="s">
        <v>30</v>
      </c>
      <c r="G355" s="115">
        <v>0</v>
      </c>
      <c r="H355" s="115">
        <v>0</v>
      </c>
      <c r="I355" s="115">
        <v>0</v>
      </c>
      <c r="J355" s="115">
        <v>0</v>
      </c>
      <c r="K355" s="115">
        <v>0</v>
      </c>
      <c r="L355" s="116">
        <f t="shared" si="10"/>
        <v>0</v>
      </c>
      <c r="M355" s="116">
        <v>300</v>
      </c>
      <c r="N355" s="116">
        <f t="shared" si="11"/>
        <v>0</v>
      </c>
    </row>
    <row r="356" ht="22.5" customHeight="1" spans="1:14">
      <c r="A356" s="113">
        <v>46377</v>
      </c>
      <c r="B356" s="114" t="s">
        <v>22</v>
      </c>
      <c r="C356" s="114">
        <v>12</v>
      </c>
      <c r="D356" s="114" t="s">
        <v>57</v>
      </c>
      <c r="E356" s="114">
        <v>52</v>
      </c>
      <c r="F356" s="114" t="s">
        <v>31</v>
      </c>
      <c r="G356" s="120">
        <v>60.5</v>
      </c>
      <c r="H356" s="120">
        <v>230.5</v>
      </c>
      <c r="I356" s="120">
        <v>0</v>
      </c>
      <c r="J356" s="120">
        <v>0</v>
      </c>
      <c r="K356" s="120">
        <v>0</v>
      </c>
      <c r="L356" s="116">
        <f t="shared" si="10"/>
        <v>291</v>
      </c>
      <c r="M356" s="116">
        <v>300</v>
      </c>
      <c r="N356" s="116">
        <f t="shared" si="11"/>
        <v>-9</v>
      </c>
    </row>
    <row r="357" ht="22.5" customHeight="1" spans="1:14">
      <c r="A357" s="113">
        <v>46378</v>
      </c>
      <c r="B357" s="114" t="s">
        <v>22</v>
      </c>
      <c r="C357" s="114">
        <v>12</v>
      </c>
      <c r="D357" s="114" t="s">
        <v>57</v>
      </c>
      <c r="E357" s="114">
        <v>52</v>
      </c>
      <c r="F357" s="114" t="s">
        <v>32</v>
      </c>
      <c r="G357" s="120">
        <v>27.5</v>
      </c>
      <c r="H357" s="120">
        <v>0</v>
      </c>
      <c r="I357" s="120">
        <v>90.5</v>
      </c>
      <c r="J357" s="120">
        <v>0</v>
      </c>
      <c r="K357" s="120">
        <v>0</v>
      </c>
      <c r="L357" s="116">
        <f t="shared" si="10"/>
        <v>118</v>
      </c>
      <c r="M357" s="116">
        <v>300</v>
      </c>
      <c r="N357" s="116">
        <f t="shared" si="11"/>
        <v>-182</v>
      </c>
    </row>
    <row r="358" ht="22.5" customHeight="1" spans="1:14">
      <c r="A358" s="113">
        <v>46379</v>
      </c>
      <c r="B358" s="114" t="s">
        <v>22</v>
      </c>
      <c r="C358" s="114">
        <v>12</v>
      </c>
      <c r="D358" s="114" t="s">
        <v>57</v>
      </c>
      <c r="E358" s="114">
        <v>52</v>
      </c>
      <c r="F358" s="114" t="s">
        <v>33</v>
      </c>
      <c r="G358" s="120">
        <v>75.5</v>
      </c>
      <c r="H358" s="120">
        <v>180.5</v>
      </c>
      <c r="I358" s="120">
        <v>120.5</v>
      </c>
      <c r="J358" s="120">
        <v>20.5</v>
      </c>
      <c r="K358" s="120">
        <v>50.5</v>
      </c>
      <c r="L358" s="116">
        <f t="shared" si="10"/>
        <v>447.5</v>
      </c>
      <c r="M358" s="116">
        <v>300</v>
      </c>
      <c r="N358" s="116">
        <f t="shared" si="11"/>
        <v>147.5</v>
      </c>
    </row>
    <row r="359" ht="22.5" customHeight="1" spans="1:14">
      <c r="A359" s="113">
        <v>46380</v>
      </c>
      <c r="B359" s="114" t="s">
        <v>22</v>
      </c>
      <c r="C359" s="114">
        <v>12</v>
      </c>
      <c r="D359" s="114" t="s">
        <v>57</v>
      </c>
      <c r="E359" s="114">
        <v>52</v>
      </c>
      <c r="F359" s="114" t="s">
        <v>34</v>
      </c>
      <c r="G359" s="120">
        <v>55.5</v>
      </c>
      <c r="H359" s="120">
        <v>260.5</v>
      </c>
      <c r="I359" s="120">
        <v>0</v>
      </c>
      <c r="J359" s="120">
        <v>20.5</v>
      </c>
      <c r="K359" s="120">
        <v>0</v>
      </c>
      <c r="L359" s="116">
        <f t="shared" si="10"/>
        <v>336.5</v>
      </c>
      <c r="M359" s="116">
        <v>300</v>
      </c>
      <c r="N359" s="116">
        <f t="shared" si="11"/>
        <v>36.5</v>
      </c>
    </row>
    <row r="360" ht="22.5" customHeight="1" spans="1:14">
      <c r="A360" s="113">
        <v>46381</v>
      </c>
      <c r="B360" s="114" t="s">
        <v>22</v>
      </c>
      <c r="C360" s="114">
        <v>12</v>
      </c>
      <c r="D360" s="114" t="s">
        <v>57</v>
      </c>
      <c r="E360" s="114">
        <v>52</v>
      </c>
      <c r="F360" s="114" t="s">
        <v>35</v>
      </c>
      <c r="G360" s="120">
        <v>65.5</v>
      </c>
      <c r="H360" s="120">
        <v>280.5</v>
      </c>
      <c r="I360" s="120">
        <v>0</v>
      </c>
      <c r="J360" s="120">
        <v>10.5</v>
      </c>
      <c r="K360" s="120">
        <v>0</v>
      </c>
      <c r="L360" s="116">
        <f t="shared" si="10"/>
        <v>356.5</v>
      </c>
      <c r="M360" s="116">
        <v>300</v>
      </c>
      <c r="N360" s="116">
        <f t="shared" si="11"/>
        <v>56.5</v>
      </c>
    </row>
    <row r="361" ht="22.5" customHeight="1" spans="1:14">
      <c r="A361" s="113">
        <v>46382</v>
      </c>
      <c r="B361" s="114" t="s">
        <v>22</v>
      </c>
      <c r="C361" s="114">
        <v>12</v>
      </c>
      <c r="D361" s="114" t="s">
        <v>57</v>
      </c>
      <c r="E361" s="114">
        <v>52</v>
      </c>
      <c r="F361" s="114" t="s">
        <v>36</v>
      </c>
      <c r="G361" s="115">
        <v>0</v>
      </c>
      <c r="H361" s="115">
        <v>0</v>
      </c>
      <c r="I361" s="115">
        <v>0</v>
      </c>
      <c r="J361" s="115">
        <v>0</v>
      </c>
      <c r="K361" s="115">
        <v>0</v>
      </c>
      <c r="L361" s="116">
        <f t="shared" si="10"/>
        <v>0</v>
      </c>
      <c r="M361" s="116">
        <v>300</v>
      </c>
      <c r="N361" s="116">
        <f t="shared" si="11"/>
        <v>0</v>
      </c>
    </row>
    <row r="362" ht="22.5" customHeight="1" spans="1:14">
      <c r="A362" s="113">
        <v>46383</v>
      </c>
      <c r="B362" s="114" t="s">
        <v>22</v>
      </c>
      <c r="C362" s="114">
        <v>12</v>
      </c>
      <c r="D362" s="114" t="s">
        <v>57</v>
      </c>
      <c r="E362" s="114">
        <v>53</v>
      </c>
      <c r="F362" s="114" t="s">
        <v>30</v>
      </c>
      <c r="G362" s="115">
        <v>0</v>
      </c>
      <c r="H362" s="115">
        <v>0</v>
      </c>
      <c r="I362" s="115">
        <v>0</v>
      </c>
      <c r="J362" s="115">
        <v>0</v>
      </c>
      <c r="K362" s="115">
        <v>0</v>
      </c>
      <c r="L362" s="116">
        <f t="shared" si="10"/>
        <v>0</v>
      </c>
      <c r="M362" s="116">
        <v>300</v>
      </c>
      <c r="N362" s="116">
        <f t="shared" si="11"/>
        <v>0</v>
      </c>
    </row>
    <row r="363" ht="22.5" customHeight="1" spans="1:14">
      <c r="A363" s="113">
        <v>46384</v>
      </c>
      <c r="B363" s="114" t="s">
        <v>22</v>
      </c>
      <c r="C363" s="114">
        <v>12</v>
      </c>
      <c r="D363" s="114" t="s">
        <v>57</v>
      </c>
      <c r="E363" s="114">
        <v>53</v>
      </c>
      <c r="F363" s="114" t="s">
        <v>31</v>
      </c>
      <c r="G363" s="120">
        <v>75.5</v>
      </c>
      <c r="H363" s="120">
        <v>300.5</v>
      </c>
      <c r="I363" s="120">
        <v>120.5</v>
      </c>
      <c r="J363" s="120">
        <v>0</v>
      </c>
      <c r="K363" s="120">
        <v>80.5</v>
      </c>
      <c r="L363" s="116">
        <f t="shared" si="10"/>
        <v>577</v>
      </c>
      <c r="M363" s="116">
        <v>300</v>
      </c>
      <c r="N363" s="116">
        <f t="shared" si="11"/>
        <v>277</v>
      </c>
    </row>
    <row r="364" ht="22.5" customHeight="1" spans="1:14">
      <c r="A364" s="113">
        <v>46385</v>
      </c>
      <c r="B364" s="114" t="s">
        <v>22</v>
      </c>
      <c r="C364" s="114">
        <v>12</v>
      </c>
      <c r="D364" s="114" t="s">
        <v>57</v>
      </c>
      <c r="E364" s="114">
        <v>53</v>
      </c>
      <c r="F364" s="114" t="s">
        <v>32</v>
      </c>
      <c r="G364" s="120">
        <v>0</v>
      </c>
      <c r="H364" s="120">
        <v>140.5</v>
      </c>
      <c r="I364" s="120">
        <v>110.5</v>
      </c>
      <c r="J364" s="120">
        <v>30.5</v>
      </c>
      <c r="K364" s="120">
        <v>50.5</v>
      </c>
      <c r="L364" s="116">
        <f t="shared" si="10"/>
        <v>332</v>
      </c>
      <c r="M364" s="116">
        <v>300</v>
      </c>
      <c r="N364" s="116">
        <f t="shared" si="11"/>
        <v>32</v>
      </c>
    </row>
    <row r="365" ht="22.5" customHeight="1" spans="1:14">
      <c r="A365" s="113">
        <v>46386</v>
      </c>
      <c r="B365" s="114" t="s">
        <v>22</v>
      </c>
      <c r="C365" s="114">
        <v>12</v>
      </c>
      <c r="D365" s="114" t="s">
        <v>57</v>
      </c>
      <c r="E365" s="114">
        <v>53</v>
      </c>
      <c r="F365" s="114" t="s">
        <v>33</v>
      </c>
      <c r="G365" s="120">
        <v>65.5</v>
      </c>
      <c r="H365" s="120">
        <v>230.5</v>
      </c>
      <c r="I365" s="120">
        <v>130.5</v>
      </c>
      <c r="J365" s="120">
        <v>0</v>
      </c>
      <c r="K365" s="120">
        <v>40.5</v>
      </c>
      <c r="L365" s="116">
        <f t="shared" si="10"/>
        <v>467</v>
      </c>
      <c r="M365" s="116">
        <v>300</v>
      </c>
      <c r="N365" s="116">
        <f t="shared" si="11"/>
        <v>167</v>
      </c>
    </row>
    <row r="366" ht="22.5" customHeight="1" spans="1:14">
      <c r="A366" s="113">
        <v>46387</v>
      </c>
      <c r="B366" s="114" t="s">
        <v>22</v>
      </c>
      <c r="C366" s="114">
        <v>12</v>
      </c>
      <c r="D366" s="114" t="s">
        <v>57</v>
      </c>
      <c r="E366" s="114">
        <v>53</v>
      </c>
      <c r="F366" s="114" t="s">
        <v>34</v>
      </c>
      <c r="G366" s="120">
        <v>100.5</v>
      </c>
      <c r="H366" s="120">
        <v>230.5</v>
      </c>
      <c r="I366" s="120">
        <v>135.5</v>
      </c>
      <c r="J366" s="120">
        <v>0</v>
      </c>
      <c r="K366" s="120">
        <v>65.5</v>
      </c>
      <c r="L366" s="116">
        <f t="shared" si="10"/>
        <v>532</v>
      </c>
      <c r="M366" s="116">
        <v>300</v>
      </c>
      <c r="N366" s="116">
        <f t="shared" si="11"/>
        <v>232</v>
      </c>
    </row>
    <row r="367" spans="1:14">
      <c r="A367" s="122"/>
      <c r="G367" s="123"/>
      <c r="H367" s="123"/>
      <c r="I367" s="123"/>
      <c r="J367" s="123"/>
      <c r="K367" s="123"/>
    </row>
    <row r="368" spans="1:14">
      <c r="A368" s="122"/>
      <c r="G368" s="123"/>
      <c r="H368" s="123"/>
      <c r="I368" s="123"/>
      <c r="J368" s="123"/>
      <c r="K368" s="123"/>
    </row>
    <row r="369" spans="1:11">
      <c r="A369" s="122"/>
      <c r="G369" s="123"/>
      <c r="H369" s="123"/>
      <c r="I369" s="123"/>
      <c r="J369" s="123"/>
      <c r="K369" s="123"/>
    </row>
    <row r="370" spans="1:11">
      <c r="A370" s="122"/>
      <c r="G370" s="123"/>
      <c r="H370" s="123"/>
      <c r="I370" s="123"/>
      <c r="J370" s="123"/>
      <c r="K370" s="123"/>
    </row>
    <row r="371" spans="1:11">
      <c r="G371" s="123"/>
      <c r="H371" s="123"/>
      <c r="I371" s="123"/>
      <c r="J371" s="123"/>
      <c r="K371" s="123"/>
    </row>
    <row r="372" spans="1:11">
      <c r="G372" s="123"/>
      <c r="H372" s="123"/>
      <c r="I372" s="123"/>
      <c r="J372" s="123"/>
      <c r="K372" s="123"/>
    </row>
    <row r="373" spans="1:11">
      <c r="G373" s="123"/>
      <c r="H373" s="123"/>
      <c r="I373" s="123"/>
      <c r="J373" s="123"/>
      <c r="K373" s="123"/>
    </row>
    <row r="374" spans="1:11">
      <c r="G374" s="123"/>
      <c r="H374" s="123"/>
      <c r="I374" s="123"/>
      <c r="J374" s="123"/>
      <c r="K374" s="123"/>
    </row>
    <row r="375" spans="1:11">
      <c r="G375" s="123"/>
      <c r="H375" s="123"/>
      <c r="I375" s="123"/>
      <c r="J375" s="123"/>
      <c r="K375" s="123"/>
    </row>
    <row r="376" spans="1:11">
      <c r="G376" s="123"/>
      <c r="H376" s="123"/>
      <c r="I376" s="123"/>
      <c r="J376" s="123"/>
      <c r="K376" s="123"/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40"/>
  <sheetViews>
    <sheetView topLeftCell="C1"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0.75" style="2" customWidth="1"/>
    <col min="12" max="12" width="23.625" customWidth="1"/>
    <col min="13" max="13" width="32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96" t="s">
        <v>64</v>
      </c>
      <c r="E5" s="97">
        <v>1500</v>
      </c>
      <c r="H5" s="7"/>
      <c r="I5" s="98"/>
      <c r="J5" s="99" t="s">
        <v>65</v>
      </c>
      <c r="K5" s="100">
        <v>300</v>
      </c>
    </row>
    <row r="6" ht="17.55"/>
    <row r="7" s="1" customFormat="1" ht="21.15" spans="2:13">
      <c r="B7" s="11" t="s">
        <v>9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01" t="s">
        <v>70</v>
      </c>
      <c r="C8" s="102">
        <v>46027</v>
      </c>
      <c r="D8" s="81">
        <v>60.5</v>
      </c>
      <c r="E8" s="22"/>
      <c r="F8" s="22"/>
      <c r="G8" s="22"/>
      <c r="H8" s="22"/>
      <c r="I8" s="22">
        <f>SUM(D8:H8)</f>
        <v>60.5</v>
      </c>
      <c r="J8" s="23"/>
      <c r="K8" s="103">
        <f>IF(I8=0,0,I8-328.2)</f>
        <v>-267.7</v>
      </c>
      <c r="L8" s="24" t="s">
        <v>71</v>
      </c>
      <c r="M8" s="25"/>
    </row>
    <row r="9" spans="2:13">
      <c r="B9" s="19"/>
      <c r="C9" s="50">
        <v>46028</v>
      </c>
      <c r="D9" s="51">
        <v>70.5</v>
      </c>
      <c r="E9" s="27"/>
      <c r="F9" s="27">
        <v>80.5</v>
      </c>
      <c r="G9" s="27">
        <v>30.5</v>
      </c>
      <c r="H9" s="27"/>
      <c r="I9" s="27">
        <f>SUM(D9:H9)</f>
        <v>181.5</v>
      </c>
      <c r="J9" s="28"/>
      <c r="K9" s="103">
        <f>IF(I9=0,0,I9-328.2)</f>
        <v>-146.7</v>
      </c>
      <c r="L9" s="29" t="s">
        <v>72</v>
      </c>
      <c r="M9" s="29" t="s">
        <v>73</v>
      </c>
    </row>
    <row r="10" spans="2:13">
      <c r="B10" s="19"/>
      <c r="C10" s="50">
        <v>46029</v>
      </c>
      <c r="D10" s="51"/>
      <c r="E10" s="27"/>
      <c r="F10" s="27"/>
      <c r="G10" s="27"/>
      <c r="H10" s="27"/>
      <c r="I10" s="27">
        <f>SUM(D10:H10)</f>
        <v>0</v>
      </c>
      <c r="J10" s="28"/>
      <c r="K10" s="103">
        <f>IF(I10=0,0,I10-328.2)</f>
        <v>0</v>
      </c>
      <c r="L10" s="29"/>
      <c r="M10" s="29" t="s">
        <v>74</v>
      </c>
    </row>
    <row r="11" spans="2:13">
      <c r="B11" s="19"/>
      <c r="C11" s="50">
        <v>46030</v>
      </c>
      <c r="D11" s="51">
        <v>70.5</v>
      </c>
      <c r="E11" s="27">
        <v>195.5</v>
      </c>
      <c r="F11" s="27">
        <v>95.5</v>
      </c>
      <c r="G11" s="27">
        <v>20.5</v>
      </c>
      <c r="H11" s="27"/>
      <c r="I11" s="27">
        <f>SUM(D11:H11)</f>
        <v>382</v>
      </c>
      <c r="J11" s="28"/>
      <c r="K11" s="103">
        <f>IF(I11=0,0,I11-328.2)</f>
        <v>53.8</v>
      </c>
      <c r="L11" s="69" t="s">
        <v>72</v>
      </c>
      <c r="M11" s="29" t="s">
        <v>75</v>
      </c>
    </row>
    <row r="12" spans="2:13">
      <c r="B12" s="19"/>
      <c r="C12" s="50">
        <v>46031</v>
      </c>
      <c r="D12" s="51">
        <v>70.5</v>
      </c>
      <c r="E12" s="27">
        <v>185.5</v>
      </c>
      <c r="F12" s="27">
        <v>110.5</v>
      </c>
      <c r="G12" s="27">
        <v>30.5</v>
      </c>
      <c r="H12" s="27"/>
      <c r="I12" s="27">
        <f>SUM(D12:H12)</f>
        <v>397</v>
      </c>
      <c r="J12" s="28"/>
      <c r="K12" s="103">
        <f>IF(I12=0,0,I12-328.2)</f>
        <v>68.8</v>
      </c>
      <c r="L12" s="29" t="s">
        <v>72</v>
      </c>
      <c r="M12" s="29" t="s">
        <v>76</v>
      </c>
    </row>
    <row r="13" spans="2:13">
      <c r="B13" s="30" t="s">
        <v>77</v>
      </c>
      <c r="C13" s="59"/>
      <c r="D13" s="60"/>
      <c r="E13" s="32"/>
      <c r="F13" s="32"/>
      <c r="G13" s="32"/>
      <c r="H13" s="32"/>
      <c r="I13" s="32"/>
      <c r="J13" s="75">
        <f>SUM(I8:I12)</f>
        <v>1021</v>
      </c>
      <c r="K13" s="104"/>
      <c r="L13" s="35"/>
      <c r="M13" s="35"/>
    </row>
    <row r="14" spans="2:13">
      <c r="B14" s="36" t="s">
        <v>78</v>
      </c>
      <c r="C14" s="50">
        <v>46034</v>
      </c>
      <c r="D14" s="51">
        <v>55.5</v>
      </c>
      <c r="E14" s="27">
        <v>105.5</v>
      </c>
      <c r="F14" s="27">
        <v>75.5</v>
      </c>
      <c r="G14" s="27"/>
      <c r="H14" s="27">
        <v>100.5</v>
      </c>
      <c r="I14" s="27">
        <f>SUM(D14:H14)</f>
        <v>337</v>
      </c>
      <c r="J14" s="28"/>
      <c r="K14" s="103">
        <f>IF(I14=0,0,I14-328.2)</f>
        <v>8.80000000000001</v>
      </c>
      <c r="L14" s="29" t="s">
        <v>79</v>
      </c>
      <c r="M14" s="29" t="s">
        <v>76</v>
      </c>
    </row>
    <row r="15" spans="2:13">
      <c r="B15" s="36"/>
      <c r="C15" s="50">
        <v>46035</v>
      </c>
      <c r="D15" s="51">
        <v>60.5</v>
      </c>
      <c r="E15" s="27">
        <v>120.5</v>
      </c>
      <c r="F15" s="27">
        <v>105.5</v>
      </c>
      <c r="G15" s="27">
        <v>20.5</v>
      </c>
      <c r="H15" s="27"/>
      <c r="I15" s="27">
        <f>SUM(D15:H15)</f>
        <v>307</v>
      </c>
      <c r="J15" s="28"/>
      <c r="K15" s="103">
        <f>IF(I15=0,0,I15-328.2)</f>
        <v>-21.2</v>
      </c>
      <c r="L15" s="29" t="s">
        <v>80</v>
      </c>
      <c r="M15" s="29" t="s">
        <v>76</v>
      </c>
    </row>
    <row r="16" spans="2:13">
      <c r="B16" s="36"/>
      <c r="C16" s="50">
        <v>46036</v>
      </c>
      <c r="D16" s="51">
        <v>60.5</v>
      </c>
      <c r="E16" s="27">
        <v>195.5</v>
      </c>
      <c r="F16" s="27">
        <v>125.5</v>
      </c>
      <c r="G16" s="27"/>
      <c r="H16" s="27"/>
      <c r="I16" s="27">
        <f>SUM(D16:H16)</f>
        <v>381.5</v>
      </c>
      <c r="J16" s="28"/>
      <c r="K16" s="103">
        <f>IF(I16=0,0,I16-328.2)</f>
        <v>53.3</v>
      </c>
      <c r="L16" s="29" t="s">
        <v>81</v>
      </c>
      <c r="M16" s="29" t="s">
        <v>82</v>
      </c>
    </row>
    <row r="17" spans="2:13">
      <c r="B17" s="36"/>
      <c r="C17" s="50">
        <v>46037</v>
      </c>
      <c r="D17" s="51">
        <v>75.5</v>
      </c>
      <c r="E17" s="27">
        <v>160.5</v>
      </c>
      <c r="F17" s="27"/>
      <c r="G17" s="27">
        <v>15.5</v>
      </c>
      <c r="H17" s="27">
        <v>50.5</v>
      </c>
      <c r="I17" s="27">
        <f>SUM(D17:H17)</f>
        <v>302</v>
      </c>
      <c r="J17" s="28"/>
      <c r="K17" s="103">
        <f>IF(I17=0,0,I17-328.2)</f>
        <v>-26.2</v>
      </c>
      <c r="L17" s="29" t="s">
        <v>83</v>
      </c>
      <c r="M17" s="29" t="s">
        <v>75</v>
      </c>
    </row>
    <row r="18" spans="2:13">
      <c r="B18" s="36"/>
      <c r="C18" s="50">
        <v>46038</v>
      </c>
      <c r="D18" s="51">
        <v>60.5</v>
      </c>
      <c r="E18" s="27">
        <v>150.5</v>
      </c>
      <c r="F18" s="27">
        <v>125.5</v>
      </c>
      <c r="G18" s="27"/>
      <c r="H18" s="27">
        <v>50.5</v>
      </c>
      <c r="I18" s="27">
        <f>SUM(D18:H18)</f>
        <v>387</v>
      </c>
      <c r="J18" s="28"/>
      <c r="K18" s="103">
        <f>IF(I18=0,0,I18-328.2)</f>
        <v>58.8</v>
      </c>
      <c r="L18" s="29" t="s">
        <v>71</v>
      </c>
      <c r="M18" s="29" t="s">
        <v>82</v>
      </c>
    </row>
    <row r="19" spans="2:13">
      <c r="B19" s="30" t="s">
        <v>77</v>
      </c>
      <c r="C19" s="59"/>
      <c r="D19" s="60"/>
      <c r="E19" s="32"/>
      <c r="F19" s="32"/>
      <c r="G19" s="32"/>
      <c r="H19" s="32"/>
      <c r="I19" s="32"/>
      <c r="J19" s="75">
        <f>SUM(I14:I18)</f>
        <v>1714.5</v>
      </c>
      <c r="K19" s="104"/>
      <c r="L19" s="35"/>
      <c r="M19" s="35"/>
    </row>
    <row r="20" spans="2:13">
      <c r="B20" s="36" t="s">
        <v>84</v>
      </c>
      <c r="C20" s="50">
        <v>46041</v>
      </c>
      <c r="D20" s="55">
        <v>60.5</v>
      </c>
      <c r="E20" s="86"/>
      <c r="F20" s="56">
        <v>70.5</v>
      </c>
      <c r="G20" s="86"/>
      <c r="H20" s="56">
        <v>65.5</v>
      </c>
      <c r="I20" s="27">
        <f>SUM(D20:H20)</f>
        <v>196.5</v>
      </c>
      <c r="J20" s="28"/>
      <c r="K20" s="103">
        <f>IF(I20=0,0,I20-328.2)</f>
        <v>-131.7</v>
      </c>
      <c r="L20" s="29" t="s">
        <v>71</v>
      </c>
      <c r="M20" s="58" t="s">
        <v>85</v>
      </c>
    </row>
    <row r="21" spans="2:13">
      <c r="B21" s="36"/>
      <c r="C21" s="50">
        <v>46042</v>
      </c>
      <c r="D21" s="51">
        <v>25.5</v>
      </c>
      <c r="E21" s="27">
        <v>157.5</v>
      </c>
      <c r="F21" s="27"/>
      <c r="G21" s="27"/>
      <c r="H21" s="27">
        <v>36.5</v>
      </c>
      <c r="I21" s="27">
        <f>SUM(D21:H21)</f>
        <v>219.5</v>
      </c>
      <c r="J21" s="28"/>
      <c r="K21" s="103">
        <f>IF(I21=0,0,I21-328.2)</f>
        <v>-108.7</v>
      </c>
      <c r="L21" s="29"/>
      <c r="M21" s="29"/>
    </row>
    <row r="22" spans="2:13">
      <c r="B22" s="36"/>
      <c r="C22" s="50">
        <v>46043</v>
      </c>
      <c r="D22" s="51"/>
      <c r="E22" s="27">
        <v>155.5</v>
      </c>
      <c r="F22" s="27">
        <v>90.5</v>
      </c>
      <c r="G22" s="27">
        <v>20.5</v>
      </c>
      <c r="H22" s="27">
        <v>30.5</v>
      </c>
      <c r="I22" s="27">
        <f>SUM(D22:H22)</f>
        <v>297</v>
      </c>
      <c r="J22" s="28"/>
      <c r="K22" s="103">
        <f>IF(I22=0,0,I22-328.2)</f>
        <v>-31.2</v>
      </c>
      <c r="L22" s="29" t="s">
        <v>86</v>
      </c>
      <c r="M22" s="29" t="s">
        <v>76</v>
      </c>
    </row>
    <row r="23" spans="2:13">
      <c r="B23" s="36"/>
      <c r="C23" s="50">
        <v>46044</v>
      </c>
      <c r="D23" s="51">
        <v>70.5</v>
      </c>
      <c r="E23" s="27">
        <v>135.5</v>
      </c>
      <c r="F23" s="27">
        <v>80.5</v>
      </c>
      <c r="G23" s="27"/>
      <c r="H23" s="27"/>
      <c r="I23" s="27">
        <f>SUM(D23:H23)</f>
        <v>286.5</v>
      </c>
      <c r="J23" s="28"/>
      <c r="K23" s="103">
        <f>IF(I23=0,0,I23-328.2)</f>
        <v>-41.7</v>
      </c>
      <c r="L23" s="29" t="s">
        <v>71</v>
      </c>
      <c r="M23" s="29" t="s">
        <v>75</v>
      </c>
    </row>
    <row r="24" spans="2:13">
      <c r="B24" s="36"/>
      <c r="C24" s="50">
        <v>46045</v>
      </c>
      <c r="D24" s="51"/>
      <c r="E24" s="27">
        <v>170.5</v>
      </c>
      <c r="F24" s="27">
        <v>135.5</v>
      </c>
      <c r="G24" s="27">
        <v>30.5</v>
      </c>
      <c r="H24" s="27"/>
      <c r="I24" s="27">
        <f>SUM(D24:H24)</f>
        <v>336.5</v>
      </c>
      <c r="J24" s="28"/>
      <c r="K24" s="103">
        <f>IF(I24=0,0,I24-328.2)</f>
        <v>8.30000000000001</v>
      </c>
      <c r="L24" s="29" t="s">
        <v>87</v>
      </c>
      <c r="M24" s="29" t="s">
        <v>76</v>
      </c>
    </row>
    <row r="25" spans="2:13">
      <c r="B25" s="30" t="s">
        <v>77</v>
      </c>
      <c r="C25" s="59"/>
      <c r="D25" s="60"/>
      <c r="E25" s="32"/>
      <c r="F25" s="32"/>
      <c r="G25" s="32"/>
      <c r="H25" s="32"/>
      <c r="I25" s="32"/>
      <c r="J25" s="75">
        <f>SUM(I20:I24)</f>
        <v>1336</v>
      </c>
      <c r="K25" s="104"/>
      <c r="L25" s="35"/>
      <c r="M25" s="35"/>
    </row>
    <row r="26" ht="17.6" spans="2:13">
      <c r="B26" s="36" t="s">
        <v>88</v>
      </c>
      <c r="C26" s="50">
        <v>46048</v>
      </c>
      <c r="D26" s="51">
        <v>50.5</v>
      </c>
      <c r="E26" s="27">
        <v>130.5</v>
      </c>
      <c r="F26" s="27">
        <v>80.5</v>
      </c>
      <c r="G26" s="27">
        <v>15.5</v>
      </c>
      <c r="H26" s="27"/>
      <c r="I26" s="27">
        <f>SUM(D26:H26)</f>
        <v>277</v>
      </c>
      <c r="J26" s="28"/>
      <c r="K26" s="103">
        <f>IF(I26=0,0,I26-328.2)</f>
        <v>-51.2</v>
      </c>
      <c r="L26" s="29" t="s">
        <v>86</v>
      </c>
      <c r="M26" s="105" t="s">
        <v>89</v>
      </c>
    </row>
    <row r="27" spans="2:13">
      <c r="B27" s="36"/>
      <c r="C27" s="50">
        <v>46049</v>
      </c>
      <c r="D27" s="51">
        <v>40.5</v>
      </c>
      <c r="E27" s="27">
        <v>110.5</v>
      </c>
      <c r="F27" s="27">
        <v>65.5</v>
      </c>
      <c r="G27" s="27">
        <v>15.5</v>
      </c>
      <c r="H27" s="27">
        <v>30.5</v>
      </c>
      <c r="I27" s="27">
        <f>SUM(D27:H27)</f>
        <v>262.5</v>
      </c>
      <c r="J27" s="28"/>
      <c r="K27" s="103">
        <f>IF(I27=0,0,I27-328.2)</f>
        <v>-65.7</v>
      </c>
      <c r="L27" s="29" t="s">
        <v>81</v>
      </c>
      <c r="M27" s="29" t="s">
        <v>90</v>
      </c>
    </row>
    <row r="28" spans="2:13">
      <c r="B28" s="36"/>
      <c r="C28" s="50">
        <v>46050</v>
      </c>
      <c r="D28" s="51"/>
      <c r="E28" s="27">
        <v>240.5</v>
      </c>
      <c r="F28" s="27">
        <v>125.5</v>
      </c>
      <c r="G28" s="27">
        <v>30.5</v>
      </c>
      <c r="H28" s="27"/>
      <c r="I28" s="27">
        <f>SUM(D28:H28)</f>
        <v>396.5</v>
      </c>
      <c r="J28" s="28"/>
      <c r="K28" s="103">
        <f>IF(I28=0,0,I28-328.2)</f>
        <v>68.3</v>
      </c>
      <c r="L28" s="29" t="s">
        <v>86</v>
      </c>
      <c r="M28" s="29" t="s">
        <v>90</v>
      </c>
    </row>
    <row r="29" spans="2:13">
      <c r="B29" s="36"/>
      <c r="C29" s="50">
        <v>46051</v>
      </c>
      <c r="D29" s="51"/>
      <c r="E29" s="27">
        <v>180.5</v>
      </c>
      <c r="F29" s="27">
        <v>65.5</v>
      </c>
      <c r="G29" s="27">
        <v>25.5</v>
      </c>
      <c r="H29" s="27">
        <v>100.5</v>
      </c>
      <c r="I29" s="27">
        <f>SUM(D29:H29)</f>
        <v>372</v>
      </c>
      <c r="J29" s="28"/>
      <c r="K29" s="103">
        <f>IF(I29=0,0,I29-328.2)</f>
        <v>43.8</v>
      </c>
      <c r="L29" s="29" t="s">
        <v>72</v>
      </c>
      <c r="M29" s="29" t="s">
        <v>90</v>
      </c>
    </row>
    <row r="30" spans="2:13">
      <c r="B30" s="36"/>
      <c r="C30" s="50">
        <v>46052</v>
      </c>
      <c r="D30" s="51">
        <v>59.5</v>
      </c>
      <c r="E30" s="27">
        <v>160.5</v>
      </c>
      <c r="F30" s="27"/>
      <c r="G30" s="27"/>
      <c r="H30" s="27">
        <v>49.5</v>
      </c>
      <c r="I30" s="27">
        <f>SUM(D30:H30)</f>
        <v>269.5</v>
      </c>
      <c r="J30" s="37"/>
      <c r="K30" s="103">
        <f>IF(I30=0,0,I30-328.2)</f>
        <v>-58.7</v>
      </c>
      <c r="L30" s="29" t="s">
        <v>83</v>
      </c>
      <c r="M30" s="29" t="s">
        <v>75</v>
      </c>
    </row>
    <row r="31" spans="2:13">
      <c r="B31" s="30" t="s">
        <v>77</v>
      </c>
      <c r="C31" s="59"/>
      <c r="D31" s="60"/>
      <c r="E31" s="32"/>
      <c r="F31" s="32"/>
      <c r="G31" s="32"/>
      <c r="H31" s="32"/>
      <c r="I31" s="32"/>
      <c r="J31" s="75">
        <f>SUM(I26:I30)</f>
        <v>1577.5</v>
      </c>
      <c r="K31" s="104"/>
      <c r="L31" s="35"/>
      <c r="M31" s="35"/>
    </row>
    <row r="32" spans="2:13">
      <c r="B32" s="36" t="s">
        <v>91</v>
      </c>
      <c r="C32" s="50"/>
      <c r="D32" s="51"/>
      <c r="E32" s="27"/>
      <c r="F32" s="27"/>
      <c r="G32" s="27"/>
      <c r="H32" s="27"/>
      <c r="I32" s="27">
        <f>SUM(D32:H32)</f>
        <v>0</v>
      </c>
      <c r="J32" s="28"/>
      <c r="K32" s="103">
        <f>IF(I32=0,0,I32-328.2)</f>
        <v>0</v>
      </c>
      <c r="L32" s="29"/>
      <c r="M32" s="29"/>
    </row>
    <row r="33" spans="2:13">
      <c r="B33" s="36"/>
      <c r="C33" s="50"/>
      <c r="D33" s="51"/>
      <c r="E33" s="27"/>
      <c r="F33" s="27"/>
      <c r="G33" s="27"/>
      <c r="H33" s="27"/>
      <c r="I33" s="27">
        <f>SUM(D33:H33)</f>
        <v>0</v>
      </c>
      <c r="J33" s="28"/>
      <c r="K33" s="103">
        <f>IF(I33=0,0,I33-328.2)</f>
        <v>0</v>
      </c>
      <c r="L33" s="29"/>
      <c r="M33" s="29"/>
    </row>
    <row r="34" spans="2:13">
      <c r="B34" s="36"/>
      <c r="C34" s="50"/>
      <c r="D34" s="51"/>
      <c r="E34" s="27"/>
      <c r="F34" s="27"/>
      <c r="G34" s="27"/>
      <c r="H34" s="27"/>
      <c r="I34" s="27">
        <f>SUM(D34:H34)</f>
        <v>0</v>
      </c>
      <c r="J34" s="28"/>
      <c r="K34" s="103">
        <f>IF(I34=0,0,I34-328.2)</f>
        <v>0</v>
      </c>
      <c r="L34" s="29"/>
      <c r="M34" s="29"/>
    </row>
    <row r="35" spans="2:13">
      <c r="B35" s="36"/>
      <c r="C35" s="50"/>
      <c r="D35" s="51"/>
      <c r="E35" s="27"/>
      <c r="F35" s="27"/>
      <c r="G35" s="27"/>
      <c r="H35" s="27"/>
      <c r="I35" s="27">
        <f>SUM(D35:H35)</f>
        <v>0</v>
      </c>
      <c r="J35" s="28"/>
      <c r="K35" s="103">
        <f>IF(I35=0,0,I35-328.2)</f>
        <v>0</v>
      </c>
      <c r="L35" s="29"/>
      <c r="M35" s="29"/>
    </row>
    <row r="36" spans="2:13">
      <c r="B36" s="36"/>
      <c r="C36" s="50"/>
      <c r="D36" s="51"/>
      <c r="E36" s="27"/>
      <c r="F36" s="27"/>
      <c r="G36" s="27"/>
      <c r="H36" s="27"/>
      <c r="I36" s="27">
        <f>SUM(D36:H36)</f>
        <v>0</v>
      </c>
      <c r="J36" s="37"/>
      <c r="K36" s="103">
        <f>IF(I36=0,0,I36-328.2)</f>
        <v>0</v>
      </c>
      <c r="L36" s="29"/>
      <c r="M36" s="29"/>
    </row>
    <row r="37" ht="17.55" spans="2:13">
      <c r="B37" s="62" t="s">
        <v>77</v>
      </c>
      <c r="C37" s="63"/>
      <c r="D37" s="106"/>
      <c r="E37" s="61"/>
      <c r="F37" s="61"/>
      <c r="G37" s="61"/>
      <c r="H37" s="61"/>
      <c r="I37" s="61"/>
      <c r="J37" s="107">
        <f>SUM(I32:I36)</f>
        <v>0</v>
      </c>
      <c r="K37" s="107"/>
      <c r="L37" s="43"/>
      <c r="M37" s="43"/>
    </row>
    <row r="38" ht="24" customHeight="1" spans="2:13">
      <c r="B38" s="65" t="s">
        <v>92</v>
      </c>
      <c r="C38" s="65"/>
      <c r="D38" s="65"/>
      <c r="E38" s="65"/>
      <c r="F38" s="65"/>
      <c r="G38" s="65"/>
      <c r="H38" s="65"/>
      <c r="I38" s="65"/>
      <c r="J38" s="66">
        <f>SUM(J13:J37)</f>
        <v>5649</v>
      </c>
      <c r="K38" s="66"/>
      <c r="L38" s="67"/>
      <c r="M38" s="67"/>
    </row>
    <row r="40" ht="21" customHeight="1"/>
  </sheetData>
  <mergeCells count="12">
    <mergeCell ref="B13:C13"/>
    <mergeCell ref="B19:C19"/>
    <mergeCell ref="B25:C25"/>
    <mergeCell ref="B31:C31"/>
    <mergeCell ref="B37:C37"/>
    <mergeCell ref="B38:I38"/>
    <mergeCell ref="B8:B12"/>
    <mergeCell ref="B14:B18"/>
    <mergeCell ref="B20:B24"/>
    <mergeCell ref="B26:B30"/>
    <mergeCell ref="B32:B36"/>
    <mergeCell ref="C2:L3"/>
  </mergeCells>
  <conditionalFormatting sqref="K8:K36">
    <cfRule type="cellIs" dxfId="56" priority="3" operator="lessThan">
      <formula>0</formula>
    </cfRule>
    <cfRule type="cellIs" dxfId="57" priority="4" operator="greaterThan">
      <formula>0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19.7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10</v>
      </c>
      <c r="C7" s="48" t="s">
        <v>58</v>
      </c>
      <c r="D7" s="49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80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50">
        <v>46055</v>
      </c>
      <c r="D8" s="81">
        <v>55.5</v>
      </c>
      <c r="E8" s="22">
        <v>245.5</v>
      </c>
      <c r="F8" s="22">
        <v>65.5</v>
      </c>
      <c r="G8" s="22"/>
      <c r="H8" s="82"/>
      <c r="I8" s="83">
        <f>SUM(D8:H8)</f>
        <v>366.5</v>
      </c>
      <c r="J8" s="84"/>
      <c r="K8" s="23">
        <f>IF(I8=0,0,I8-328.2)</f>
        <v>38.3</v>
      </c>
      <c r="L8" s="29" t="s">
        <v>71</v>
      </c>
      <c r="M8" s="25" t="s">
        <v>75</v>
      </c>
    </row>
    <row r="9" spans="2:13">
      <c r="B9" s="19"/>
      <c r="C9" s="50">
        <v>46056</v>
      </c>
      <c r="D9" s="51">
        <v>50.5</v>
      </c>
      <c r="E9" s="27">
        <v>140.5</v>
      </c>
      <c r="F9" s="27">
        <v>70.5</v>
      </c>
      <c r="G9" s="27"/>
      <c r="H9" s="85">
        <v>40.5</v>
      </c>
      <c r="I9" s="83">
        <f>SUM(D9:H9)</f>
        <v>302</v>
      </c>
      <c r="J9" s="57"/>
      <c r="K9" s="23">
        <f>IF(I9=0,0,I9-328.2)</f>
        <v>-26.2</v>
      </c>
      <c r="L9" s="29" t="s">
        <v>87</v>
      </c>
      <c r="M9" s="29" t="s">
        <v>93</v>
      </c>
    </row>
    <row r="10" spans="2:13">
      <c r="B10" s="19"/>
      <c r="C10" s="50">
        <v>46057</v>
      </c>
      <c r="D10" s="51">
        <v>30.5</v>
      </c>
      <c r="E10" s="27">
        <v>140.5</v>
      </c>
      <c r="F10" s="27"/>
      <c r="G10" s="27"/>
      <c r="H10" s="85"/>
      <c r="I10" s="83">
        <f>SUM(D10:H10)</f>
        <v>171</v>
      </c>
      <c r="J10" s="57"/>
      <c r="K10" s="23">
        <f>IF(I10=0,0,I10-328.2)</f>
        <v>-157.2</v>
      </c>
      <c r="L10" s="29" t="s">
        <v>71</v>
      </c>
      <c r="M10" s="29" t="s">
        <v>93</v>
      </c>
    </row>
    <row r="11" spans="2:13">
      <c r="B11" s="19"/>
      <c r="C11" s="50">
        <v>46058</v>
      </c>
      <c r="D11" s="51">
        <v>90.5</v>
      </c>
      <c r="E11" s="27">
        <v>200.5</v>
      </c>
      <c r="F11" s="27">
        <v>95.5</v>
      </c>
      <c r="G11" s="27"/>
      <c r="H11" s="85"/>
      <c r="I11" s="83">
        <f>SUM(D11:H11)</f>
        <v>386.5</v>
      </c>
      <c r="J11" s="57"/>
      <c r="K11" s="23">
        <f>IF(I11=0,0,I11-328.2)</f>
        <v>58.3</v>
      </c>
      <c r="L11" s="29" t="s">
        <v>83</v>
      </c>
      <c r="M11" s="29" t="s">
        <v>73</v>
      </c>
    </row>
    <row r="12" ht="14.25" customHeight="1" spans="2:13">
      <c r="B12" s="19"/>
      <c r="C12" s="50">
        <v>46059</v>
      </c>
      <c r="D12" s="55">
        <v>65.5</v>
      </c>
      <c r="E12" s="56">
        <v>155.5</v>
      </c>
      <c r="F12" s="56">
        <v>85.5</v>
      </c>
      <c r="G12" s="86"/>
      <c r="H12" s="87">
        <v>50.5</v>
      </c>
      <c r="I12" s="83">
        <f>SUM(D12:H12)</f>
        <v>357</v>
      </c>
      <c r="J12" s="57"/>
      <c r="K12" s="23">
        <f>IF(I12=0,0,I12-328.2)</f>
        <v>28.8</v>
      </c>
      <c r="L12" s="88" t="s">
        <v>83</v>
      </c>
      <c r="M12" s="58" t="s">
        <v>94</v>
      </c>
    </row>
    <row r="13" spans="2:13">
      <c r="B13" s="30" t="s">
        <v>77</v>
      </c>
      <c r="C13" s="59"/>
      <c r="D13" s="60"/>
      <c r="E13" s="32"/>
      <c r="F13" s="32"/>
      <c r="G13" s="32"/>
      <c r="H13" s="89"/>
      <c r="I13" s="90"/>
      <c r="J13" s="91">
        <f>SUM(I8:I12)</f>
        <v>1583</v>
      </c>
      <c r="K13" s="34"/>
      <c r="L13" s="35"/>
      <c r="M13" s="35"/>
    </row>
    <row r="14" spans="2:13">
      <c r="B14" s="36" t="s">
        <v>78</v>
      </c>
      <c r="C14" s="50">
        <v>46062</v>
      </c>
      <c r="D14" s="51">
        <v>56.5</v>
      </c>
      <c r="E14" s="27">
        <v>120.5</v>
      </c>
      <c r="F14" s="27"/>
      <c r="G14" s="27"/>
      <c r="H14" s="27">
        <v>36.5</v>
      </c>
      <c r="I14" s="22">
        <f>SUM(D14:H14)</f>
        <v>213.5</v>
      </c>
      <c r="J14" s="28"/>
      <c r="K14" s="23">
        <f>IF(I14=0,0,I14-328.2)</f>
        <v>-114.7</v>
      </c>
      <c r="L14" s="29"/>
      <c r="M14" s="29" t="s">
        <v>75</v>
      </c>
    </row>
    <row r="15" spans="2:13">
      <c r="B15" s="36"/>
      <c r="C15" s="50">
        <v>46063</v>
      </c>
      <c r="D15" s="51"/>
      <c r="E15" s="27">
        <v>150.5</v>
      </c>
      <c r="F15" s="27">
        <v>90.5</v>
      </c>
      <c r="G15" s="27"/>
      <c r="H15" s="27">
        <v>67.5</v>
      </c>
      <c r="I15" s="27">
        <f>SUM(D15:H15)</f>
        <v>308.5</v>
      </c>
      <c r="J15" s="28"/>
      <c r="K15" s="23">
        <f>IF(I15=0,0,I15-328.2)</f>
        <v>-19.7</v>
      </c>
      <c r="L15" s="29" t="s">
        <v>72</v>
      </c>
      <c r="M15" s="29" t="s">
        <v>75</v>
      </c>
    </row>
    <row r="16" spans="2:13">
      <c r="B16" s="36"/>
      <c r="C16" s="50">
        <v>46064</v>
      </c>
      <c r="D16" s="51">
        <v>50.5</v>
      </c>
      <c r="E16" s="27">
        <v>160.5</v>
      </c>
      <c r="F16" s="27">
        <v>115.5</v>
      </c>
      <c r="G16" s="27"/>
      <c r="H16" s="27">
        <v>34.5</v>
      </c>
      <c r="I16" s="27">
        <f>SUM(D16:H16)</f>
        <v>361</v>
      </c>
      <c r="J16" s="28"/>
      <c r="K16" s="23">
        <f>IF(I16=0,0,I16-328.2)</f>
        <v>32.8</v>
      </c>
      <c r="L16" s="29" t="s">
        <v>86</v>
      </c>
      <c r="M16" s="29" t="s">
        <v>75</v>
      </c>
    </row>
    <row r="17" spans="2:13">
      <c r="B17" s="36"/>
      <c r="C17" s="50">
        <v>46065</v>
      </c>
      <c r="D17" s="51"/>
      <c r="E17" s="27">
        <v>195.5</v>
      </c>
      <c r="F17" s="27">
        <v>95.5</v>
      </c>
      <c r="G17" s="27">
        <v>15.5</v>
      </c>
      <c r="H17" s="27">
        <v>10.5</v>
      </c>
      <c r="I17" s="27">
        <f>SUM(D17:H17)</f>
        <v>317</v>
      </c>
      <c r="J17" s="28"/>
      <c r="K17" s="23">
        <f>IF(I17=0,0,I17-328.2)</f>
        <v>-11.2</v>
      </c>
      <c r="L17" s="29" t="s">
        <v>71</v>
      </c>
      <c r="M17" s="29" t="s">
        <v>95</v>
      </c>
    </row>
    <row r="18" spans="2:13">
      <c r="B18" s="36"/>
      <c r="C18" s="50">
        <v>46066</v>
      </c>
      <c r="D18" s="51">
        <v>100.5</v>
      </c>
      <c r="E18" s="27">
        <v>230.5</v>
      </c>
      <c r="F18" s="27">
        <v>75.5</v>
      </c>
      <c r="G18" s="27">
        <v>30.5</v>
      </c>
      <c r="H18" s="27">
        <v>100.5</v>
      </c>
      <c r="I18" s="27">
        <f>SUM(D18:H18)</f>
        <v>537.5</v>
      </c>
      <c r="J18" s="28"/>
      <c r="K18" s="23">
        <f>IF(I18=0,0,I18-328.2)</f>
        <v>209.3</v>
      </c>
      <c r="L18" s="29" t="s">
        <v>86</v>
      </c>
      <c r="M18" s="29" t="s">
        <v>93</v>
      </c>
    </row>
    <row r="19" spans="2:13">
      <c r="B19" s="30" t="s">
        <v>77</v>
      </c>
      <c r="C19" s="59"/>
      <c r="D19" s="60"/>
      <c r="E19" s="32"/>
      <c r="F19" s="32"/>
      <c r="G19" s="32"/>
      <c r="H19" s="32"/>
      <c r="I19" s="32"/>
      <c r="J19" s="33">
        <f>SUM(I14:I18)</f>
        <v>1737.5</v>
      </c>
      <c r="K19" s="92"/>
      <c r="L19" s="35"/>
      <c r="M19" s="35"/>
    </row>
    <row r="20" spans="2:13">
      <c r="B20" s="36" t="s">
        <v>84</v>
      </c>
      <c r="C20" s="50">
        <v>46069</v>
      </c>
      <c r="D20" s="51">
        <v>70.5</v>
      </c>
      <c r="E20" s="27"/>
      <c r="F20" s="27">
        <v>75.5</v>
      </c>
      <c r="G20" s="27"/>
      <c r="H20" s="27">
        <v>65.5</v>
      </c>
      <c r="I20" s="27">
        <f>SUM(D20:H20)</f>
        <v>211.5</v>
      </c>
      <c r="J20" s="28"/>
      <c r="K20" s="23">
        <f>IF(I20=0,0,I20-328.2)</f>
        <v>-116.7</v>
      </c>
      <c r="L20" s="29" t="s">
        <v>83</v>
      </c>
      <c r="M20" s="29" t="s">
        <v>90</v>
      </c>
    </row>
    <row r="21" spans="2:13">
      <c r="B21" s="36"/>
      <c r="C21" s="50">
        <v>46070</v>
      </c>
      <c r="D21" s="51">
        <v>27.5</v>
      </c>
      <c r="E21" s="27">
        <v>150.5</v>
      </c>
      <c r="F21" s="27"/>
      <c r="G21" s="27"/>
      <c r="H21" s="27">
        <v>35.5</v>
      </c>
      <c r="I21" s="27">
        <f>SUM(D21:H21)</f>
        <v>213.5</v>
      </c>
      <c r="J21" s="28"/>
      <c r="K21" s="23">
        <f>IF(I21=0,0,I21-328.2)</f>
        <v>-114.7</v>
      </c>
      <c r="L21" s="29"/>
      <c r="M21" s="29" t="s">
        <v>75</v>
      </c>
    </row>
    <row r="22" spans="2:13">
      <c r="B22" s="36"/>
      <c r="C22" s="50">
        <v>46071</v>
      </c>
      <c r="D22" s="51">
        <v>60.5</v>
      </c>
      <c r="E22" s="27">
        <v>210.5</v>
      </c>
      <c r="F22" s="27"/>
      <c r="G22" s="27">
        <v>20.5</v>
      </c>
      <c r="H22" s="27">
        <v>40.5</v>
      </c>
      <c r="I22" s="27">
        <f>SUM(D22:H22)</f>
        <v>332</v>
      </c>
      <c r="J22" s="28"/>
      <c r="K22" s="23">
        <f>IF(I22=0,0,I22-328.2)</f>
        <v>3.80000000000001</v>
      </c>
      <c r="L22" s="29" t="s">
        <v>71</v>
      </c>
      <c r="M22" s="29" t="s">
        <v>93</v>
      </c>
    </row>
    <row r="23" spans="2:13">
      <c r="B23" s="36"/>
      <c r="C23" s="50">
        <v>46072</v>
      </c>
      <c r="D23" s="51">
        <v>75.5</v>
      </c>
      <c r="E23" s="27">
        <v>180.5</v>
      </c>
      <c r="F23" s="27">
        <v>60.5</v>
      </c>
      <c r="G23" s="27">
        <v>10.5</v>
      </c>
      <c r="H23" s="27">
        <v>50.5</v>
      </c>
      <c r="I23" s="27">
        <f>SUM(D23:H23)</f>
        <v>377.5</v>
      </c>
      <c r="J23" s="28"/>
      <c r="K23" s="23">
        <f>IF(I23=0,0,I23-328.2)</f>
        <v>49.3</v>
      </c>
      <c r="L23" s="29" t="s">
        <v>86</v>
      </c>
      <c r="M23" s="29" t="s">
        <v>75</v>
      </c>
    </row>
    <row r="24" spans="2:13">
      <c r="B24" s="36"/>
      <c r="C24" s="50">
        <v>46073</v>
      </c>
      <c r="D24" s="51">
        <v>90.5</v>
      </c>
      <c r="E24" s="27">
        <v>200.5</v>
      </c>
      <c r="F24" s="27">
        <v>135.5</v>
      </c>
      <c r="G24" s="27">
        <v>10.5</v>
      </c>
      <c r="H24" s="27">
        <v>50.5</v>
      </c>
      <c r="I24" s="27">
        <f>SUM(D24:H24)</f>
        <v>487.5</v>
      </c>
      <c r="J24" s="28"/>
      <c r="K24" s="23">
        <f>IF(I24=0,0,I24-328.2)</f>
        <v>159.3</v>
      </c>
      <c r="L24" s="29" t="s">
        <v>71</v>
      </c>
      <c r="M24" s="29" t="s">
        <v>75</v>
      </c>
    </row>
    <row r="25" spans="2:13">
      <c r="B25" s="30" t="s">
        <v>77</v>
      </c>
      <c r="C25" s="59"/>
      <c r="D25" s="60"/>
      <c r="E25" s="32"/>
      <c r="F25" s="32"/>
      <c r="G25" s="32"/>
      <c r="H25" s="32"/>
      <c r="I25" s="32"/>
      <c r="J25" s="33">
        <f>SUM(I20:I24)</f>
        <v>1622</v>
      </c>
      <c r="K25" s="34"/>
      <c r="L25" s="35"/>
      <c r="M25" s="35"/>
    </row>
    <row r="26" spans="2:13">
      <c r="B26" s="36" t="s">
        <v>88</v>
      </c>
      <c r="C26" s="50">
        <v>46076</v>
      </c>
      <c r="D26" s="51">
        <v>45.5</v>
      </c>
      <c r="E26" s="27">
        <v>125.5</v>
      </c>
      <c r="F26" s="27">
        <v>80.5</v>
      </c>
      <c r="G26" s="27">
        <v>20.5</v>
      </c>
      <c r="H26" s="27">
        <v>65.5</v>
      </c>
      <c r="I26" s="27">
        <f>SUM(D26:H26)</f>
        <v>337.5</v>
      </c>
      <c r="J26" s="28"/>
      <c r="K26" s="23">
        <f>IF(I26=0,0,I26-328.2)</f>
        <v>9.30000000000001</v>
      </c>
      <c r="L26" s="29" t="s">
        <v>80</v>
      </c>
      <c r="M26" s="29" t="s">
        <v>90</v>
      </c>
    </row>
    <row r="27" spans="2:13">
      <c r="B27" s="36"/>
      <c r="C27" s="50">
        <v>46077</v>
      </c>
      <c r="D27" s="51">
        <v>24.5</v>
      </c>
      <c r="E27" s="27">
        <v>137.5</v>
      </c>
      <c r="F27" s="27"/>
      <c r="G27" s="27"/>
      <c r="H27" s="27">
        <v>46.5</v>
      </c>
      <c r="I27" s="27">
        <f>SUM(D27:H27)</f>
        <v>208.5</v>
      </c>
      <c r="J27" s="28"/>
      <c r="K27" s="23">
        <f>IF(I27=0,0,I27-328.2)</f>
        <v>-119.7</v>
      </c>
      <c r="L27" s="29"/>
      <c r="M27" s="29" t="s">
        <v>75</v>
      </c>
    </row>
    <row r="28" spans="2:13">
      <c r="B28" s="36"/>
      <c r="C28" s="50">
        <v>46078</v>
      </c>
      <c r="D28" s="51">
        <v>50.5</v>
      </c>
      <c r="E28" s="27">
        <v>165.5</v>
      </c>
      <c r="F28" s="27">
        <v>70.5</v>
      </c>
      <c r="G28" s="27"/>
      <c r="H28" s="27">
        <v>80.5</v>
      </c>
      <c r="I28" s="27">
        <f>SUM(D28:H28)</f>
        <v>367</v>
      </c>
      <c r="J28" s="28"/>
      <c r="K28" s="23">
        <f>IF(I28=0,0,I28-328.2)</f>
        <v>38.8</v>
      </c>
      <c r="L28" s="29" t="s">
        <v>81</v>
      </c>
      <c r="M28" s="29" t="s">
        <v>96</v>
      </c>
    </row>
    <row r="29" spans="2:13">
      <c r="B29" s="36"/>
      <c r="C29" s="50">
        <v>46079</v>
      </c>
      <c r="D29" s="51"/>
      <c r="E29" s="27">
        <v>195.5</v>
      </c>
      <c r="F29" s="27">
        <v>125.5</v>
      </c>
      <c r="G29" s="27"/>
      <c r="H29" s="27">
        <v>100.5</v>
      </c>
      <c r="I29" s="27">
        <f>SUM(D29:H29)</f>
        <v>421.5</v>
      </c>
      <c r="J29" s="28"/>
      <c r="K29" s="23">
        <f>IF(I29=0,0,I29-328.2)</f>
        <v>93.3</v>
      </c>
      <c r="L29" s="29" t="s">
        <v>87</v>
      </c>
      <c r="M29" s="29" t="s">
        <v>75</v>
      </c>
    </row>
    <row r="30" spans="2:13">
      <c r="B30" s="36"/>
      <c r="C30" s="50">
        <v>46080</v>
      </c>
      <c r="D30" s="51">
        <v>125.5</v>
      </c>
      <c r="E30" s="27">
        <v>250.5</v>
      </c>
      <c r="F30" s="27">
        <v>160.5</v>
      </c>
      <c r="G30" s="27">
        <v>25.5</v>
      </c>
      <c r="H30" s="27">
        <v>100.5</v>
      </c>
      <c r="I30" s="27">
        <f>SUM(D30:H30)</f>
        <v>662.5</v>
      </c>
      <c r="J30" s="93"/>
      <c r="K30" s="23">
        <f>IF(I30=0,0,I30-328.2)</f>
        <v>334.3</v>
      </c>
      <c r="L30" s="29" t="s">
        <v>87</v>
      </c>
      <c r="M30" s="29" t="s">
        <v>75</v>
      </c>
    </row>
    <row r="31" spans="2:13">
      <c r="B31" s="30" t="s">
        <v>77</v>
      </c>
      <c r="C31" s="59"/>
      <c r="D31" s="60"/>
      <c r="E31" s="32"/>
      <c r="F31" s="32"/>
      <c r="G31" s="32"/>
      <c r="H31" s="32"/>
      <c r="I31" s="32"/>
      <c r="J31" s="33">
        <f>SUM(I26:I30)</f>
        <v>1997</v>
      </c>
      <c r="K31" s="34"/>
      <c r="L31" s="35"/>
      <c r="M31" s="35"/>
    </row>
    <row r="32" spans="2:13">
      <c r="B32" s="36" t="s">
        <v>91</v>
      </c>
      <c r="C32" s="50"/>
      <c r="D32" s="51"/>
      <c r="E32" s="27"/>
      <c r="F32" s="27"/>
      <c r="G32" s="27"/>
      <c r="H32" s="27"/>
      <c r="I32" s="27">
        <f>SUM(D32:H32)</f>
        <v>0</v>
      </c>
      <c r="J32" s="37"/>
      <c r="K32" s="23">
        <f>IF(I32=0,0,I32-328.2)</f>
        <v>0</v>
      </c>
      <c r="L32" s="29"/>
      <c r="M32" s="29"/>
    </row>
    <row r="33" spans="2:13">
      <c r="B33" s="36"/>
      <c r="C33" s="50"/>
      <c r="D33" s="51"/>
      <c r="E33" s="27"/>
      <c r="F33" s="27"/>
      <c r="G33" s="27"/>
      <c r="H33" s="27"/>
      <c r="I33" s="27">
        <f>SUM(D33:H33)</f>
        <v>0</v>
      </c>
      <c r="J33" s="28"/>
      <c r="K33" s="23">
        <f>IF(I33=0,0,I33-328.2)</f>
        <v>0</v>
      </c>
      <c r="L33" s="29"/>
      <c r="M33" s="29"/>
    </row>
    <row r="34" spans="2:13">
      <c r="B34" s="36"/>
      <c r="C34" s="50"/>
      <c r="D34" s="51"/>
      <c r="E34" s="27"/>
      <c r="F34" s="27"/>
      <c r="G34" s="27"/>
      <c r="H34" s="27"/>
      <c r="I34" s="27">
        <f>SUM(D34:H34)</f>
        <v>0</v>
      </c>
      <c r="J34" s="28"/>
      <c r="K34" s="23">
        <f>IF(I34=0,0,I34-328.2)</f>
        <v>0</v>
      </c>
      <c r="L34" s="29"/>
      <c r="M34" s="29"/>
    </row>
    <row r="35" spans="2:13">
      <c r="B35" s="36"/>
      <c r="C35" s="50"/>
      <c r="D35" s="51"/>
      <c r="E35" s="27"/>
      <c r="F35" s="27"/>
      <c r="G35" s="27"/>
      <c r="H35" s="27"/>
      <c r="I35" s="27">
        <f>SUM(D35:H35)</f>
        <v>0</v>
      </c>
      <c r="J35" s="28"/>
      <c r="K35" s="23">
        <f>IF(I35=0,0,I35-328.2)</f>
        <v>0</v>
      </c>
      <c r="L35" s="29"/>
      <c r="M35" s="29"/>
    </row>
    <row r="36" spans="2:13">
      <c r="B36" s="36"/>
      <c r="C36" s="50"/>
      <c r="D36" s="51"/>
      <c r="E36" s="27"/>
      <c r="F36" s="27"/>
      <c r="G36" s="27"/>
      <c r="H36" s="27"/>
      <c r="I36" s="27">
        <f>SUM(D36:H36)</f>
        <v>0</v>
      </c>
      <c r="J36" s="28"/>
      <c r="K36" s="23">
        <f>IF(I36=0,0,I36-328.2)</f>
        <v>0</v>
      </c>
      <c r="L36" s="29"/>
      <c r="M36" s="29"/>
    </row>
    <row r="37" ht="17.55" spans="2:13">
      <c r="B37" s="62" t="s">
        <v>77</v>
      </c>
      <c r="C37" s="63"/>
      <c r="D37" s="64"/>
      <c r="E37" s="40"/>
      <c r="F37" s="40"/>
      <c r="G37" s="40"/>
      <c r="H37" s="40"/>
      <c r="I37" s="40"/>
      <c r="J37" s="41">
        <f>SUM(I32:I36)</f>
        <v>0</v>
      </c>
      <c r="K37" s="34"/>
      <c r="L37" s="42"/>
      <c r="M37" s="43"/>
    </row>
    <row r="38" ht="27" customHeight="1" spans="2:13">
      <c r="B38" s="94" t="s">
        <v>97</v>
      </c>
      <c r="C38" s="94"/>
      <c r="D38" s="94"/>
      <c r="E38" s="94"/>
      <c r="F38" s="94"/>
      <c r="G38" s="94"/>
      <c r="H38" s="94"/>
      <c r="I38" s="94"/>
      <c r="J38" s="95">
        <f>SUM(J13:J37)</f>
        <v>6939.5</v>
      </c>
      <c r="K38" s="95"/>
      <c r="L38" s="67"/>
      <c r="M38" s="67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8" priority="1" operator="greaterThan">
      <formula>0</formula>
    </cfRule>
    <cfRule type="cellIs" dxfId="59" priority="2" operator="lessThan">
      <formula>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40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2.75" style="2" customWidth="1"/>
    <col min="10" max="10" width="18.875" style="3" customWidth="1"/>
    <col min="11" max="11" width="21.5" style="2" customWidth="1"/>
    <col min="12" max="12" width="23.625" customWidth="1"/>
    <col min="13" max="13" width="54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11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68">
        <v>46083</v>
      </c>
      <c r="D8" s="21">
        <v>60.5</v>
      </c>
      <c r="E8" s="22">
        <v>160.5</v>
      </c>
      <c r="F8" s="22">
        <v>75.5</v>
      </c>
      <c r="G8" s="22">
        <v>10.5</v>
      </c>
      <c r="H8" s="22">
        <v>56.5</v>
      </c>
      <c r="I8" s="22">
        <f>SUM(D8:H8)</f>
        <v>363.5</v>
      </c>
      <c r="J8" s="23"/>
      <c r="K8" s="23">
        <f>IF(I8=0,0,I8-328.2)</f>
        <v>35.3</v>
      </c>
      <c r="L8" s="24" t="s">
        <v>86</v>
      </c>
      <c r="M8" s="25" t="s">
        <v>93</v>
      </c>
    </row>
    <row r="9" spans="2:13">
      <c r="B9" s="19"/>
      <c r="C9" s="20">
        <v>46084</v>
      </c>
      <c r="D9" s="26">
        <v>45.5</v>
      </c>
      <c r="E9" s="27">
        <v>215.5</v>
      </c>
      <c r="F9" s="27">
        <v>80.5</v>
      </c>
      <c r="G9" s="27"/>
      <c r="H9" s="27">
        <v>78.5</v>
      </c>
      <c r="I9" s="22">
        <f>SUM(D9:H9)</f>
        <v>420</v>
      </c>
      <c r="J9" s="28"/>
      <c r="K9" s="23">
        <f>IF(I9=0,0,I9-328.2)</f>
        <v>91.8</v>
      </c>
      <c r="L9" s="29" t="s">
        <v>86</v>
      </c>
      <c r="M9" s="29" t="s">
        <v>96</v>
      </c>
    </row>
    <row r="10" spans="2:13">
      <c r="B10" s="19"/>
      <c r="C10" s="20">
        <v>46085</v>
      </c>
      <c r="D10" s="26">
        <v>95.5</v>
      </c>
      <c r="E10" s="27">
        <v>245.5</v>
      </c>
      <c r="F10" s="27">
        <v>95.5</v>
      </c>
      <c r="G10" s="27">
        <v>10.5</v>
      </c>
      <c r="H10" s="27">
        <v>80.5</v>
      </c>
      <c r="I10" s="22">
        <f>SUM(D10:H10)</f>
        <v>527.5</v>
      </c>
      <c r="J10" s="28"/>
      <c r="K10" s="23">
        <f>IF(I10=0,0,I10-328.2)</f>
        <v>199.3</v>
      </c>
      <c r="L10" s="29" t="s">
        <v>87</v>
      </c>
      <c r="M10" s="29" t="s">
        <v>82</v>
      </c>
    </row>
    <row r="11" spans="2:13">
      <c r="B11" s="19"/>
      <c r="C11" s="20">
        <v>46086</v>
      </c>
      <c r="D11" s="26">
        <v>50.5</v>
      </c>
      <c r="E11" s="27"/>
      <c r="F11" s="27">
        <v>105.5</v>
      </c>
      <c r="G11" s="27"/>
      <c r="H11" s="27">
        <v>37.5</v>
      </c>
      <c r="I11" s="22">
        <f>SUM(D11:H11)</f>
        <v>193.5</v>
      </c>
      <c r="J11" s="28"/>
      <c r="K11" s="23">
        <f>IF(I11=0,0,I11-328.2)</f>
        <v>-134.7</v>
      </c>
      <c r="L11" s="69" t="s">
        <v>71</v>
      </c>
      <c r="M11" s="70" t="s">
        <v>98</v>
      </c>
    </row>
    <row r="12" spans="2:13">
      <c r="B12" s="19"/>
      <c r="C12" s="20">
        <v>46087</v>
      </c>
      <c r="D12" s="71">
        <v>130.5</v>
      </c>
      <c r="E12" s="72">
        <v>215.5</v>
      </c>
      <c r="F12" s="72">
        <v>170.5</v>
      </c>
      <c r="G12" s="72"/>
      <c r="H12" s="72">
        <v>50.5</v>
      </c>
      <c r="I12" s="22">
        <f>SUM(D12:H12)</f>
        <v>567</v>
      </c>
      <c r="J12" s="73"/>
      <c r="K12" s="23">
        <f>IF(I12=0,0,I12-328.2)</f>
        <v>238.8</v>
      </c>
      <c r="L12" s="74" t="s">
        <v>71</v>
      </c>
      <c r="M12" s="29" t="s">
        <v>75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2071.5</v>
      </c>
      <c r="K13" s="34"/>
      <c r="L13" s="35"/>
      <c r="M13" s="35"/>
    </row>
    <row r="14" spans="2:13">
      <c r="B14" s="36" t="s">
        <v>78</v>
      </c>
      <c r="C14" s="20">
        <v>46090</v>
      </c>
      <c r="D14" s="26">
        <v>34.5</v>
      </c>
      <c r="E14" s="27">
        <v>190.5</v>
      </c>
      <c r="F14" s="27"/>
      <c r="G14" s="27"/>
      <c r="H14" s="27">
        <v>35.5</v>
      </c>
      <c r="I14" s="27">
        <f>SUM(D14:H14)</f>
        <v>260.5</v>
      </c>
      <c r="J14" s="28"/>
      <c r="K14" s="23">
        <f>IF(I14=0,0,I14-328.2)</f>
        <v>-67.7</v>
      </c>
      <c r="L14" s="29" t="s">
        <v>83</v>
      </c>
      <c r="M14" s="29"/>
    </row>
    <row r="15" spans="2:13">
      <c r="B15" s="36"/>
      <c r="C15" s="20">
        <v>46091</v>
      </c>
      <c r="D15" s="26"/>
      <c r="E15" s="27"/>
      <c r="F15" s="27"/>
      <c r="G15" s="27"/>
      <c r="H15" s="27"/>
      <c r="I15" s="27">
        <f>SUM(D15:H15)</f>
        <v>0</v>
      </c>
      <c r="J15" s="28"/>
      <c r="K15" s="23">
        <f>IF(I15=0,0,I15-328.2)</f>
        <v>0</v>
      </c>
      <c r="L15" s="29"/>
      <c r="M15" s="29" t="s">
        <v>74</v>
      </c>
    </row>
    <row r="16" spans="2:13">
      <c r="B16" s="36"/>
      <c r="C16" s="20">
        <v>46092</v>
      </c>
      <c r="D16" s="26">
        <v>80.5</v>
      </c>
      <c r="E16" s="27">
        <v>165.5</v>
      </c>
      <c r="F16" s="27">
        <v>60.5</v>
      </c>
      <c r="G16" s="27">
        <v>15.5</v>
      </c>
      <c r="H16" s="27"/>
      <c r="I16" s="27">
        <f>SUM(D16:H16)</f>
        <v>322</v>
      </c>
      <c r="J16" s="28"/>
      <c r="K16" s="23">
        <f>IF(I16=0,0,I16-328.2)</f>
        <v>-6.19999999999999</v>
      </c>
      <c r="L16" s="29" t="s">
        <v>81</v>
      </c>
      <c r="M16" s="29" t="s">
        <v>82</v>
      </c>
    </row>
    <row r="17" spans="2:13">
      <c r="B17" s="36"/>
      <c r="C17" s="20">
        <v>46093</v>
      </c>
      <c r="D17" s="26">
        <v>60.5</v>
      </c>
      <c r="E17" s="27">
        <v>175.5</v>
      </c>
      <c r="F17" s="27">
        <v>75.5</v>
      </c>
      <c r="G17" s="27">
        <v>15.5</v>
      </c>
      <c r="H17" s="27">
        <v>80.5</v>
      </c>
      <c r="I17" s="27">
        <f>SUM(D17:H17)</f>
        <v>407.5</v>
      </c>
      <c r="J17" s="28"/>
      <c r="K17" s="23">
        <f>IF(I17=0,0,I17-328.2)</f>
        <v>79.3</v>
      </c>
      <c r="L17" s="29" t="s">
        <v>83</v>
      </c>
      <c r="M17" s="29" t="s">
        <v>75</v>
      </c>
    </row>
    <row r="18" spans="2:13">
      <c r="B18" s="36"/>
      <c r="C18" s="20">
        <v>46094</v>
      </c>
      <c r="D18" s="26">
        <v>100.5</v>
      </c>
      <c r="E18" s="27">
        <v>190.5</v>
      </c>
      <c r="F18" s="27">
        <v>100.5</v>
      </c>
      <c r="G18" s="27">
        <v>10.5</v>
      </c>
      <c r="H18" s="27"/>
      <c r="I18" s="27">
        <f>SUM(D18:H18)</f>
        <v>402</v>
      </c>
      <c r="J18" s="28"/>
      <c r="K18" s="23">
        <f>IF(I18=0,0,I18-328.2)</f>
        <v>73.8</v>
      </c>
      <c r="L18" s="29" t="s">
        <v>72</v>
      </c>
      <c r="M18" s="29" t="s">
        <v>75</v>
      </c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1392</v>
      </c>
      <c r="K19" s="34"/>
      <c r="L19" s="35"/>
      <c r="M19" s="35"/>
    </row>
    <row r="20" spans="2:13">
      <c r="B20" s="36" t="s">
        <v>84</v>
      </c>
      <c r="C20" s="20">
        <v>46097</v>
      </c>
      <c r="D20" s="26">
        <v>85.5</v>
      </c>
      <c r="E20" s="27">
        <v>180.5</v>
      </c>
      <c r="F20" s="27">
        <v>110.5</v>
      </c>
      <c r="G20" s="27">
        <v>25.5</v>
      </c>
      <c r="H20" s="27">
        <v>50.5</v>
      </c>
      <c r="I20" s="27">
        <f>SUM(D20:H20)</f>
        <v>452.5</v>
      </c>
      <c r="J20" s="28"/>
      <c r="K20" s="23">
        <f>IF(I20=0,0,I20-328.2)</f>
        <v>124.3</v>
      </c>
      <c r="L20" s="29" t="s">
        <v>83</v>
      </c>
      <c r="M20" s="29" t="s">
        <v>93</v>
      </c>
    </row>
    <row r="21" spans="2:13">
      <c r="B21" s="36"/>
      <c r="C21" s="20">
        <v>46098</v>
      </c>
      <c r="D21" s="26">
        <v>45.5</v>
      </c>
      <c r="E21" s="27">
        <v>135.5</v>
      </c>
      <c r="F21" s="27">
        <v>85.5</v>
      </c>
      <c r="G21" s="27">
        <v>20.5</v>
      </c>
      <c r="H21" s="27">
        <v>80.5</v>
      </c>
      <c r="I21" s="27">
        <f>SUM(D21:H21)</f>
        <v>367.5</v>
      </c>
      <c r="J21" s="28"/>
      <c r="K21" s="23">
        <f>IF(I21=0,0,I21-328.2)</f>
        <v>39.3</v>
      </c>
      <c r="L21" s="29" t="s">
        <v>83</v>
      </c>
      <c r="M21" s="29" t="s">
        <v>93</v>
      </c>
    </row>
    <row r="22" spans="2:13">
      <c r="B22" s="36"/>
      <c r="C22" s="20">
        <v>46099</v>
      </c>
      <c r="D22" s="26">
        <v>70.5</v>
      </c>
      <c r="E22" s="27">
        <v>165.5</v>
      </c>
      <c r="F22" s="27">
        <v>60.5</v>
      </c>
      <c r="G22" s="27"/>
      <c r="H22" s="27">
        <v>80.5</v>
      </c>
      <c r="I22" s="27">
        <f>SUM(D22:H22)</f>
        <v>377</v>
      </c>
      <c r="J22" s="28"/>
      <c r="K22" s="23">
        <f>IF(I22=0,0,I22-328.2)</f>
        <v>48.8</v>
      </c>
      <c r="L22" s="29" t="s">
        <v>79</v>
      </c>
      <c r="M22" s="29" t="s">
        <v>99</v>
      </c>
    </row>
    <row r="23" spans="2:13">
      <c r="B23" s="36"/>
      <c r="C23" s="20">
        <v>46100</v>
      </c>
      <c r="D23" s="26"/>
      <c r="E23" s="27"/>
      <c r="F23" s="27"/>
      <c r="G23" s="27"/>
      <c r="H23" s="27"/>
      <c r="I23" s="27">
        <f>SUM(D23:H23)</f>
        <v>0</v>
      </c>
      <c r="J23" s="28"/>
      <c r="K23" s="23">
        <f>IF(I23=0,0,I23-328.2)</f>
        <v>0</v>
      </c>
      <c r="L23" s="29"/>
      <c r="M23" s="29" t="s">
        <v>100</v>
      </c>
    </row>
    <row r="24" spans="2:13">
      <c r="B24" s="36"/>
      <c r="C24" s="20">
        <v>46101</v>
      </c>
      <c r="D24" s="26">
        <v>95.5</v>
      </c>
      <c r="E24" s="27">
        <v>190.5</v>
      </c>
      <c r="F24" s="27">
        <v>110.5</v>
      </c>
      <c r="G24" s="27">
        <v>10.5</v>
      </c>
      <c r="H24" s="27">
        <v>80.5</v>
      </c>
      <c r="I24" s="27">
        <f>SUM(D24:H24)</f>
        <v>487.5</v>
      </c>
      <c r="J24" s="28"/>
      <c r="K24" s="23">
        <f>IF(I24=0,0,I24-328.2)</f>
        <v>159.3</v>
      </c>
      <c r="L24" s="29" t="s">
        <v>71</v>
      </c>
      <c r="M24" s="29" t="s">
        <v>73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1684.5</v>
      </c>
      <c r="K25" s="34"/>
      <c r="L25" s="35"/>
      <c r="M25" s="35"/>
    </row>
    <row r="26" spans="2:13">
      <c r="B26" s="36" t="s">
        <v>88</v>
      </c>
      <c r="C26" s="20">
        <v>46104</v>
      </c>
      <c r="D26" s="26">
        <v>45.5</v>
      </c>
      <c r="E26" s="27">
        <v>170.5</v>
      </c>
      <c r="F26" s="27">
        <v>100.5</v>
      </c>
      <c r="G26" s="27"/>
      <c r="H26" s="27">
        <v>40.5</v>
      </c>
      <c r="I26" s="27">
        <f>SUM(D26:H26)</f>
        <v>357</v>
      </c>
      <c r="J26" s="28"/>
      <c r="K26" s="23">
        <f>IF(I26=0,0,I26-328.2)</f>
        <v>28.8</v>
      </c>
      <c r="L26" s="29" t="s">
        <v>83</v>
      </c>
      <c r="M26" s="29" t="s">
        <v>73</v>
      </c>
    </row>
    <row r="27" spans="2:13">
      <c r="B27" s="36"/>
      <c r="C27" s="20">
        <v>46105</v>
      </c>
      <c r="D27" s="26">
        <v>50.5</v>
      </c>
      <c r="E27" s="27">
        <v>135.5</v>
      </c>
      <c r="F27" s="27">
        <v>50.5</v>
      </c>
      <c r="G27" s="27">
        <v>20.5</v>
      </c>
      <c r="H27" s="27"/>
      <c r="I27" s="27">
        <f>SUM(D27:H27)</f>
        <v>257</v>
      </c>
      <c r="J27" s="28"/>
      <c r="K27" s="23">
        <f>IF(I27=0,0,I27-328.2)</f>
        <v>-71.2</v>
      </c>
      <c r="L27" s="29" t="s">
        <v>87</v>
      </c>
      <c r="M27" s="29" t="s">
        <v>73</v>
      </c>
    </row>
    <row r="28" spans="2:13">
      <c r="B28" s="36"/>
      <c r="C28" s="20">
        <v>46106</v>
      </c>
      <c r="D28" s="26">
        <v>65.5</v>
      </c>
      <c r="E28" s="27">
        <v>155.5</v>
      </c>
      <c r="F28" s="27">
        <v>60.5</v>
      </c>
      <c r="G28" s="27"/>
      <c r="H28" s="27"/>
      <c r="I28" s="27">
        <f>SUM(D28:H28)</f>
        <v>281.5</v>
      </c>
      <c r="J28" s="28"/>
      <c r="K28" s="23">
        <f>IF(I28=0,0,I28-328.2)</f>
        <v>-46.7</v>
      </c>
      <c r="L28" s="29" t="s">
        <v>79</v>
      </c>
      <c r="M28" s="29" t="s">
        <v>82</v>
      </c>
    </row>
    <row r="29" spans="2:13">
      <c r="B29" s="36"/>
      <c r="C29" s="20">
        <v>46107</v>
      </c>
      <c r="D29" s="26">
        <v>34.5</v>
      </c>
      <c r="E29" s="27">
        <v>129.5</v>
      </c>
      <c r="F29" s="27"/>
      <c r="G29" s="27"/>
      <c r="H29" s="27">
        <v>56.5</v>
      </c>
      <c r="I29" s="27">
        <f>SUM(D29:H29)</f>
        <v>220.5</v>
      </c>
      <c r="J29" s="28"/>
      <c r="K29" s="23">
        <f>IF(I29=0,0,I29-328.2)</f>
        <v>-107.7</v>
      </c>
      <c r="L29" s="29" t="s">
        <v>83</v>
      </c>
      <c r="M29" s="29"/>
    </row>
    <row r="30" spans="2:13">
      <c r="B30" s="36"/>
      <c r="C30" s="20">
        <v>46108</v>
      </c>
      <c r="D30" s="26">
        <v>50.5</v>
      </c>
      <c r="E30" s="27">
        <v>210.5</v>
      </c>
      <c r="F30" s="27">
        <v>100.5</v>
      </c>
      <c r="G30" s="27">
        <v>30.5</v>
      </c>
      <c r="H30" s="27">
        <v>40.5</v>
      </c>
      <c r="I30" s="27">
        <f>SUM(D30:H30)</f>
        <v>432.5</v>
      </c>
      <c r="J30" s="28"/>
      <c r="K30" s="23">
        <f>IF(I30=0,0,I30-328.2)</f>
        <v>104.3</v>
      </c>
      <c r="L30" s="29" t="s">
        <v>86</v>
      </c>
      <c r="M30" s="29" t="s">
        <v>95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75">
        <f>SUM(I26:I30)</f>
        <v>1548.5</v>
      </c>
      <c r="K31" s="34"/>
      <c r="L31" s="35"/>
      <c r="M31" s="35"/>
    </row>
    <row r="32" spans="2:13">
      <c r="B32" s="36" t="s">
        <v>91</v>
      </c>
      <c r="C32" s="20">
        <v>46111</v>
      </c>
      <c r="D32" s="26">
        <v>60.5</v>
      </c>
      <c r="E32" s="27">
        <v>35.5</v>
      </c>
      <c r="F32" s="27">
        <v>90.5</v>
      </c>
      <c r="G32" s="27"/>
      <c r="H32" s="27">
        <v>190.5</v>
      </c>
      <c r="I32" s="27">
        <f>SUM(D32:H32)</f>
        <v>377</v>
      </c>
      <c r="J32" s="37"/>
      <c r="K32" s="23">
        <f>IF(I32=0,0,I32-328.2)</f>
        <v>48.8</v>
      </c>
      <c r="L32" s="29" t="s">
        <v>86</v>
      </c>
      <c r="M32" s="29" t="s">
        <v>101</v>
      </c>
    </row>
    <row r="33" spans="2:13">
      <c r="B33" s="36"/>
      <c r="C33" s="20">
        <v>46112</v>
      </c>
      <c r="D33" s="26"/>
      <c r="E33" s="27">
        <v>155.5</v>
      </c>
      <c r="F33" s="27">
        <v>110.5</v>
      </c>
      <c r="G33" s="27">
        <v>25.5</v>
      </c>
      <c r="H33" s="27">
        <v>100.5</v>
      </c>
      <c r="I33" s="27">
        <f>SUM(D33:H33)</f>
        <v>392</v>
      </c>
      <c r="J33" s="28"/>
      <c r="K33" s="23">
        <f>IF(I33=0,0,I33-328.2)</f>
        <v>63.8</v>
      </c>
      <c r="L33" s="29" t="s">
        <v>71</v>
      </c>
      <c r="M33" s="29" t="s">
        <v>102</v>
      </c>
    </row>
    <row r="34" spans="2:13">
      <c r="B34" s="36"/>
      <c r="C34" s="20"/>
      <c r="D34" s="26"/>
      <c r="E34" s="27"/>
      <c r="F34" s="27"/>
      <c r="G34" s="27"/>
      <c r="H34" s="27"/>
      <c r="I34" s="27"/>
      <c r="J34" s="28"/>
      <c r="K34" s="23">
        <f>IF(I34=0,0,I34-328.2)</f>
        <v>0</v>
      </c>
      <c r="L34" s="29"/>
      <c r="M34" s="29"/>
    </row>
    <row r="35" spans="2:13">
      <c r="B35" s="36"/>
      <c r="C35" s="20"/>
      <c r="D35" s="26"/>
      <c r="E35" s="27"/>
      <c r="F35" s="27"/>
      <c r="G35" s="27"/>
      <c r="H35" s="27"/>
      <c r="I35" s="27"/>
      <c r="J35" s="28"/>
      <c r="K35" s="23">
        <f>IF(I35=0,0,I35-328.2)</f>
        <v>0</v>
      </c>
      <c r="L35" s="29"/>
      <c r="M35" s="29"/>
    </row>
    <row r="36" spans="2:13">
      <c r="B36" s="36"/>
      <c r="C36" s="20"/>
      <c r="D36" s="26"/>
      <c r="E36" s="27"/>
      <c r="F36" s="27"/>
      <c r="G36" s="27"/>
      <c r="H36" s="27"/>
      <c r="I36" s="27"/>
      <c r="J36" s="28"/>
      <c r="K36" s="23">
        <f>IF(I36=0,0,I36-328.2)</f>
        <v>0</v>
      </c>
      <c r="L36" s="29"/>
      <c r="M36" s="29"/>
    </row>
    <row r="37" ht="17.55" spans="2:13">
      <c r="B37" s="38" t="s">
        <v>77</v>
      </c>
      <c r="C37" s="38"/>
      <c r="D37" s="76"/>
      <c r="E37" s="61"/>
      <c r="F37" s="61"/>
      <c r="G37" s="61"/>
      <c r="H37" s="61"/>
      <c r="I37" s="61"/>
      <c r="J37" s="77">
        <f>SUM(I32:I36)</f>
        <v>769</v>
      </c>
      <c r="K37" s="77"/>
      <c r="L37" s="43"/>
      <c r="M37" s="43"/>
    </row>
    <row r="38" ht="27" customHeight="1" spans="2:13">
      <c r="B38" s="44" t="s">
        <v>103</v>
      </c>
      <c r="C38" s="44"/>
      <c r="D38" s="44"/>
      <c r="E38" s="44"/>
      <c r="F38" s="44"/>
      <c r="G38" s="44"/>
      <c r="H38" s="44"/>
      <c r="I38" s="44"/>
      <c r="J38" s="78">
        <f>SUM(J12:J37)</f>
        <v>7465.5</v>
      </c>
      <c r="K38" s="78"/>
      <c r="L38" s="79"/>
      <c r="M38" s="79"/>
    </row>
    <row r="40" ht="21" customHeight="1"/>
  </sheetData>
  <mergeCells count="12">
    <mergeCell ref="B13:C13"/>
    <mergeCell ref="B19:C19"/>
    <mergeCell ref="B25:C25"/>
    <mergeCell ref="B31:C31"/>
    <mergeCell ref="B37:C37"/>
    <mergeCell ref="B38:I38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1.125" style="2" customWidth="1"/>
    <col min="12" max="12" width="29.875" customWidth="1"/>
    <col min="13" max="13" width="67.12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12</v>
      </c>
      <c r="C7" s="48" t="s">
        <v>58</v>
      </c>
      <c r="D7" s="49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/>
      <c r="C8" s="50"/>
      <c r="D8" s="51"/>
      <c r="E8" s="27"/>
      <c r="F8" s="27"/>
      <c r="G8" s="27"/>
      <c r="H8" s="27"/>
      <c r="I8" s="27">
        <f>SUM(D8:H8)</f>
        <v>0</v>
      </c>
      <c r="J8" s="28"/>
      <c r="K8" s="23">
        <f>IF(I8=0,0,I8-328.2)</f>
        <v>0</v>
      </c>
      <c r="L8" s="29"/>
      <c r="M8" s="29"/>
    </row>
    <row r="9" ht="16.5" customHeight="1" spans="2:13">
      <c r="B9" s="19"/>
      <c r="C9" s="50"/>
      <c r="D9" s="51"/>
      <c r="E9" s="27"/>
      <c r="F9" s="27"/>
      <c r="G9" s="27"/>
      <c r="H9" s="27"/>
      <c r="I9" s="27">
        <f>SUM(D9:H9)</f>
        <v>0</v>
      </c>
      <c r="J9" s="28"/>
      <c r="K9" s="23">
        <f>IF(I9=0,0,I9-328.2)</f>
        <v>0</v>
      </c>
      <c r="L9" s="52"/>
      <c r="M9" s="53"/>
    </row>
    <row r="10" ht="16.5" customHeight="1" spans="2:13">
      <c r="B10" s="19"/>
      <c r="C10" s="50">
        <v>46113</v>
      </c>
      <c r="D10" s="51"/>
      <c r="E10" s="27">
        <v>160.5</v>
      </c>
      <c r="F10" s="27">
        <v>80.5</v>
      </c>
      <c r="G10" s="27"/>
      <c r="H10" s="27"/>
      <c r="I10" s="27">
        <f>SUM(D10:H10)</f>
        <v>241</v>
      </c>
      <c r="J10" s="28"/>
      <c r="K10" s="23">
        <f>IF(I10=0,0,I10-328.2)</f>
        <v>-87.2</v>
      </c>
      <c r="L10" s="52" t="s">
        <v>87</v>
      </c>
      <c r="M10" s="53" t="s">
        <v>104</v>
      </c>
    </row>
    <row r="11" ht="16.5" customHeight="1" spans="2:13">
      <c r="B11" s="19"/>
      <c r="C11" s="50">
        <v>46114</v>
      </c>
      <c r="D11" s="51"/>
      <c r="E11" s="27"/>
      <c r="F11" s="27"/>
      <c r="G11" s="27"/>
      <c r="H11" s="27"/>
      <c r="I11" s="54">
        <f>SUM(D11:H11)</f>
        <v>0</v>
      </c>
      <c r="J11" s="28"/>
      <c r="K11" s="23">
        <f>IF(I11=0,0,I11-328.2)</f>
        <v>0</v>
      </c>
      <c r="L11" s="29"/>
      <c r="M11" s="29" t="s">
        <v>102</v>
      </c>
    </row>
    <row r="12" ht="14.25" customHeight="1" spans="2:13">
      <c r="B12" s="19"/>
      <c r="C12" s="50">
        <v>46115</v>
      </c>
      <c r="D12" s="55">
        <v>90.5</v>
      </c>
      <c r="E12" s="56">
        <v>230.5</v>
      </c>
      <c r="F12" s="56"/>
      <c r="G12" s="56"/>
      <c r="H12" s="56">
        <v>80.5</v>
      </c>
      <c r="I12" s="54">
        <f t="shared" ref="I12:I18" si="0">SUM(D12:H12)</f>
        <v>401.5</v>
      </c>
      <c r="J12" s="57"/>
      <c r="K12" s="23">
        <f>IF(I12=0,0,I12-328.2)</f>
        <v>73.3</v>
      </c>
      <c r="L12" s="29" t="s">
        <v>79</v>
      </c>
      <c r="M12" s="58" t="s">
        <v>105</v>
      </c>
    </row>
    <row r="13" spans="2:13">
      <c r="B13" s="30" t="s">
        <v>77</v>
      </c>
      <c r="C13" s="59"/>
      <c r="D13" s="60"/>
      <c r="E13" s="32"/>
      <c r="F13" s="32"/>
      <c r="G13" s="32"/>
      <c r="H13" s="32"/>
      <c r="I13" s="61"/>
      <c r="J13" s="33">
        <f>SUM(I8:I12)</f>
        <v>642.5</v>
      </c>
      <c r="K13" s="34"/>
      <c r="L13" s="35"/>
      <c r="M13" s="35"/>
    </row>
    <row r="14" ht="14.25" customHeight="1" spans="2:13">
      <c r="B14" s="36" t="s">
        <v>78</v>
      </c>
      <c r="C14" s="50">
        <v>46118</v>
      </c>
      <c r="D14" s="55">
        <v>70.5</v>
      </c>
      <c r="E14" s="56">
        <v>190.5</v>
      </c>
      <c r="F14" s="56">
        <v>60.5</v>
      </c>
      <c r="G14" s="56">
        <v>20.5</v>
      </c>
      <c r="H14" s="56">
        <v>100.5</v>
      </c>
      <c r="I14" s="54">
        <f t="shared" si="0"/>
        <v>442.5</v>
      </c>
      <c r="J14" s="57"/>
      <c r="K14" s="23">
        <f>IF(I14=0,0,I14-328.2)</f>
        <v>114.3</v>
      </c>
      <c r="L14" s="29" t="s">
        <v>81</v>
      </c>
      <c r="M14" s="58" t="s">
        <v>105</v>
      </c>
    </row>
    <row r="15" spans="2:13">
      <c r="B15" s="36"/>
      <c r="C15" s="50">
        <v>46119</v>
      </c>
      <c r="D15" s="51">
        <v>65.5</v>
      </c>
      <c r="E15" s="27">
        <v>200.5</v>
      </c>
      <c r="F15" s="27">
        <v>120.5</v>
      </c>
      <c r="G15" s="27">
        <v>10.5</v>
      </c>
      <c r="H15" s="27">
        <v>80.5</v>
      </c>
      <c r="I15" s="22">
        <f t="shared" si="0"/>
        <v>477.5</v>
      </c>
      <c r="J15" s="28"/>
      <c r="K15" s="23">
        <f>IF(I15=0,0,I15-328.2)</f>
        <v>149.3</v>
      </c>
      <c r="L15" s="29" t="s">
        <v>87</v>
      </c>
      <c r="M15" s="29" t="s">
        <v>73</v>
      </c>
    </row>
    <row r="16" spans="2:13">
      <c r="B16" s="36"/>
      <c r="C16" s="50">
        <v>46120</v>
      </c>
      <c r="D16" s="51">
        <v>50.5</v>
      </c>
      <c r="E16" s="27">
        <v>200.5</v>
      </c>
      <c r="F16" s="27">
        <v>110.5</v>
      </c>
      <c r="G16" s="27">
        <v>30.5</v>
      </c>
      <c r="H16" s="27"/>
      <c r="I16" s="27">
        <f t="shared" si="0"/>
        <v>392</v>
      </c>
      <c r="J16" s="28"/>
      <c r="K16" s="23">
        <f>IF(I16=0,0,I16-328.2)</f>
        <v>63.8</v>
      </c>
      <c r="L16" s="29" t="s">
        <v>87</v>
      </c>
      <c r="M16" s="29" t="s">
        <v>75</v>
      </c>
    </row>
    <row r="17" ht="16.5" customHeight="1" spans="2:13">
      <c r="B17" s="36"/>
      <c r="C17" s="50">
        <v>46121</v>
      </c>
      <c r="D17" s="51"/>
      <c r="E17" s="27">
        <v>140.5</v>
      </c>
      <c r="F17" s="27">
        <v>90.5</v>
      </c>
      <c r="G17" s="27">
        <v>15.5</v>
      </c>
      <c r="H17" s="27"/>
      <c r="I17" s="27">
        <f t="shared" si="0"/>
        <v>246.5</v>
      </c>
      <c r="J17" s="28"/>
      <c r="K17" s="23">
        <f>IF(I17=0,0,I17-328.2)</f>
        <v>-81.7</v>
      </c>
      <c r="L17" s="52" t="s">
        <v>79</v>
      </c>
      <c r="M17" s="29" t="s">
        <v>75</v>
      </c>
    </row>
    <row r="18" spans="2:13">
      <c r="B18" s="36"/>
      <c r="C18" s="50">
        <v>46122</v>
      </c>
      <c r="D18" s="51">
        <v>75.5</v>
      </c>
      <c r="E18" s="27">
        <v>150.5</v>
      </c>
      <c r="F18" s="27">
        <v>125.5</v>
      </c>
      <c r="G18" s="27">
        <v>15.5</v>
      </c>
      <c r="H18" s="27">
        <v>50.5</v>
      </c>
      <c r="I18" s="27">
        <f t="shared" si="0"/>
        <v>417.5</v>
      </c>
      <c r="J18" s="28"/>
      <c r="K18" s="23">
        <f>IF(I18=0,0,I18-328.2)</f>
        <v>89.3</v>
      </c>
      <c r="L18" s="29" t="s">
        <v>80</v>
      </c>
      <c r="M18" s="29" t="s">
        <v>96</v>
      </c>
    </row>
    <row r="19" spans="2:13">
      <c r="B19" s="30" t="s">
        <v>77</v>
      </c>
      <c r="C19" s="59"/>
      <c r="D19" s="60"/>
      <c r="E19" s="32"/>
      <c r="F19" s="32"/>
      <c r="G19" s="32"/>
      <c r="H19" s="32"/>
      <c r="I19" s="32"/>
      <c r="J19" s="33">
        <f>SUM(I14:I18)</f>
        <v>1976</v>
      </c>
      <c r="K19" s="34"/>
      <c r="L19" s="35"/>
      <c r="M19" s="35"/>
    </row>
    <row r="20" spans="2:13">
      <c r="B20" s="36" t="s">
        <v>84</v>
      </c>
      <c r="C20" s="50">
        <v>46125</v>
      </c>
      <c r="D20" s="51">
        <v>95.5</v>
      </c>
      <c r="E20" s="27">
        <v>155.5</v>
      </c>
      <c r="F20" s="27">
        <v>65.5</v>
      </c>
      <c r="G20" s="27"/>
      <c r="H20" s="27">
        <v>80.5</v>
      </c>
      <c r="I20" s="27">
        <f>SUM(D20:H20)</f>
        <v>397</v>
      </c>
      <c r="J20" s="28"/>
      <c r="K20" s="23">
        <f>IF(I20=0,0,I20-328.2)</f>
        <v>68.8</v>
      </c>
      <c r="L20" s="29" t="s">
        <v>87</v>
      </c>
      <c r="M20" s="29" t="s">
        <v>82</v>
      </c>
    </row>
    <row r="21" spans="2:13">
      <c r="B21" s="36"/>
      <c r="C21" s="50">
        <v>46126</v>
      </c>
      <c r="D21" s="51">
        <v>65.5</v>
      </c>
      <c r="E21" s="27">
        <v>200.5</v>
      </c>
      <c r="F21" s="27">
        <v>100.5</v>
      </c>
      <c r="G21" s="27">
        <v>15.5</v>
      </c>
      <c r="H21" s="27">
        <v>65.5</v>
      </c>
      <c r="I21" s="27">
        <f>SUM(D21:H21)</f>
        <v>447.5</v>
      </c>
      <c r="J21" s="28"/>
      <c r="K21" s="23">
        <f>IF(I21=0,0,I21-328.2)</f>
        <v>119.3</v>
      </c>
      <c r="L21" s="29" t="s">
        <v>86</v>
      </c>
      <c r="M21" s="29" t="s">
        <v>106</v>
      </c>
    </row>
    <row r="22" spans="2:13">
      <c r="B22" s="36"/>
      <c r="C22" s="50">
        <v>46127</v>
      </c>
      <c r="D22" s="51"/>
      <c r="E22" s="27"/>
      <c r="F22" s="27"/>
      <c r="G22" s="27"/>
      <c r="H22" s="27"/>
      <c r="I22" s="27">
        <f>SUM(D22:H22)</f>
        <v>0</v>
      </c>
      <c r="J22" s="28"/>
      <c r="K22" s="23">
        <f>IF(I22=0,0,I22-328.2)</f>
        <v>0</v>
      </c>
      <c r="L22" s="29"/>
      <c r="M22" s="29"/>
    </row>
    <row r="23" spans="2:13">
      <c r="B23" s="36"/>
      <c r="C23" s="50">
        <v>46128</v>
      </c>
      <c r="D23" s="51">
        <v>65.5</v>
      </c>
      <c r="E23" s="27"/>
      <c r="F23" s="27">
        <v>115.5</v>
      </c>
      <c r="G23" s="27"/>
      <c r="H23" s="27"/>
      <c r="I23" s="27">
        <f>SUM(D23:H23)</f>
        <v>181</v>
      </c>
      <c r="J23" s="28"/>
      <c r="K23" s="23">
        <f>IF(I23=0,0,I23-328.2)</f>
        <v>-147.2</v>
      </c>
      <c r="L23" s="29" t="s">
        <v>87</v>
      </c>
      <c r="M23" s="29" t="s">
        <v>73</v>
      </c>
    </row>
    <row r="24" spans="2:13">
      <c r="B24" s="36"/>
      <c r="C24" s="50">
        <v>46129</v>
      </c>
      <c r="D24" s="51">
        <v>105.5</v>
      </c>
      <c r="E24" s="27">
        <v>210.5</v>
      </c>
      <c r="F24" s="27">
        <v>125.5</v>
      </c>
      <c r="G24" s="27"/>
      <c r="H24" s="27"/>
      <c r="I24" s="27">
        <f>SUM(D24:H24)</f>
        <v>441.5</v>
      </c>
      <c r="J24" s="28"/>
      <c r="K24" s="23">
        <f>IF(I24=0,0,I24-328.2)</f>
        <v>113.3</v>
      </c>
      <c r="L24" s="29" t="s">
        <v>72</v>
      </c>
      <c r="M24" s="29" t="s">
        <v>75</v>
      </c>
    </row>
    <row r="25" spans="2:13">
      <c r="B25" s="30" t="s">
        <v>77</v>
      </c>
      <c r="C25" s="59"/>
      <c r="D25" s="60"/>
      <c r="E25" s="32"/>
      <c r="F25" s="32"/>
      <c r="G25" s="32"/>
      <c r="H25" s="32"/>
      <c r="I25" s="32"/>
      <c r="J25" s="33">
        <f>SUM(I20:I24)</f>
        <v>1467</v>
      </c>
      <c r="K25" s="34"/>
      <c r="L25" s="35"/>
      <c r="M25" s="35"/>
    </row>
    <row r="26" spans="2:13">
      <c r="B26" s="36" t="s">
        <v>88</v>
      </c>
      <c r="C26" s="50">
        <v>46132</v>
      </c>
      <c r="D26" s="51">
        <v>100.5</v>
      </c>
      <c r="E26" s="27">
        <v>195.5</v>
      </c>
      <c r="F26" s="27">
        <v>120.5</v>
      </c>
      <c r="G26" s="27">
        <v>15.5</v>
      </c>
      <c r="H26" s="27"/>
      <c r="I26" s="27">
        <f>SUM(D26:H26)</f>
        <v>432</v>
      </c>
      <c r="J26" s="28"/>
      <c r="K26" s="23">
        <f>IF(I26=0,0,I26-328.2)</f>
        <v>103.8</v>
      </c>
      <c r="L26" s="29" t="s">
        <v>81</v>
      </c>
      <c r="M26" s="29" t="s">
        <v>96</v>
      </c>
    </row>
    <row r="27" spans="2:13">
      <c r="B27" s="36"/>
      <c r="C27" s="50">
        <v>46133</v>
      </c>
      <c r="D27" s="55">
        <v>55.5</v>
      </c>
      <c r="E27" s="56">
        <v>160.5</v>
      </c>
      <c r="F27" s="56">
        <v>95.5</v>
      </c>
      <c r="G27" s="56"/>
      <c r="H27" s="56">
        <v>65.5</v>
      </c>
      <c r="I27" s="27">
        <f>SUM(D27:H27)</f>
        <v>377</v>
      </c>
      <c r="J27" s="28"/>
      <c r="K27" s="23">
        <f>IF(I27=0,0,I27-328.2)</f>
        <v>48.8</v>
      </c>
      <c r="L27" s="29" t="s">
        <v>80</v>
      </c>
      <c r="M27" s="29" t="s">
        <v>107</v>
      </c>
    </row>
    <row r="28" spans="2:13">
      <c r="B28" s="36"/>
      <c r="C28" s="50">
        <v>46134</v>
      </c>
      <c r="D28" s="51">
        <v>60.5</v>
      </c>
      <c r="E28" s="27">
        <v>130.5</v>
      </c>
      <c r="F28" s="27">
        <v>80.5</v>
      </c>
      <c r="G28" s="27">
        <v>15.5</v>
      </c>
      <c r="H28" s="27">
        <v>30.5</v>
      </c>
      <c r="I28" s="27">
        <f>SUM(D28:H28)</f>
        <v>317.5</v>
      </c>
      <c r="J28" s="28"/>
      <c r="K28" s="23">
        <f>IF(I28=0,0,I28-328.2)</f>
        <v>-10.7</v>
      </c>
      <c r="L28" s="29" t="s">
        <v>87</v>
      </c>
      <c r="M28" s="29" t="s">
        <v>95</v>
      </c>
    </row>
    <row r="29" spans="2:13">
      <c r="B29" s="36"/>
      <c r="C29" s="50">
        <v>46135</v>
      </c>
      <c r="D29" s="51">
        <v>40.5</v>
      </c>
      <c r="E29" s="27">
        <v>190.5</v>
      </c>
      <c r="F29" s="27">
        <v>105.5</v>
      </c>
      <c r="G29" s="27">
        <v>10.5</v>
      </c>
      <c r="H29" s="27">
        <v>80.5</v>
      </c>
      <c r="I29" s="27">
        <f>SUM(D29:H29)</f>
        <v>427.5</v>
      </c>
      <c r="J29" s="28"/>
      <c r="K29" s="23">
        <f>IF(I29=0,0,I29-328.2)</f>
        <v>99.3</v>
      </c>
      <c r="L29" s="29" t="s">
        <v>81</v>
      </c>
      <c r="M29" s="58" t="s">
        <v>108</v>
      </c>
    </row>
    <row r="30" spans="2:13">
      <c r="B30" s="36"/>
      <c r="C30" s="50">
        <v>46136</v>
      </c>
      <c r="D30" s="51">
        <v>80.5</v>
      </c>
      <c r="E30" s="27">
        <v>270.5</v>
      </c>
      <c r="F30" s="27">
        <v>75.5</v>
      </c>
      <c r="G30" s="27">
        <v>30.5</v>
      </c>
      <c r="H30" s="27"/>
      <c r="I30" s="27">
        <f>SUM(D30:H30)</f>
        <v>457</v>
      </c>
      <c r="J30" s="28"/>
      <c r="K30" s="23">
        <f>IF(I30=0,0,I30-328.2)</f>
        <v>128.8</v>
      </c>
      <c r="L30" s="29" t="s">
        <v>87</v>
      </c>
      <c r="M30" s="29" t="s">
        <v>95</v>
      </c>
    </row>
    <row r="31" spans="2:13">
      <c r="B31" s="30" t="s">
        <v>77</v>
      </c>
      <c r="C31" s="59"/>
      <c r="D31" s="60"/>
      <c r="E31" s="32"/>
      <c r="F31" s="32"/>
      <c r="G31" s="32"/>
      <c r="H31" s="32"/>
      <c r="I31" s="32"/>
      <c r="J31" s="33">
        <f>SUM(I26:I30)</f>
        <v>2011</v>
      </c>
      <c r="K31" s="34"/>
      <c r="L31" s="35"/>
      <c r="M31" s="35"/>
    </row>
    <row r="32" spans="2:13">
      <c r="B32" s="36" t="s">
        <v>91</v>
      </c>
      <c r="C32" s="50">
        <v>46139</v>
      </c>
      <c r="D32" s="51">
        <v>70.5</v>
      </c>
      <c r="E32" s="27">
        <v>145.5</v>
      </c>
      <c r="F32" s="27">
        <v>90.5</v>
      </c>
      <c r="G32" s="27">
        <v>20.5</v>
      </c>
      <c r="H32" s="27">
        <v>50.5</v>
      </c>
      <c r="I32" s="27">
        <f>SUM(D32:H32)</f>
        <v>377.5</v>
      </c>
      <c r="J32" s="37"/>
      <c r="K32" s="23">
        <f>IF(I32=0,0,I32-328.2)</f>
        <v>49.3</v>
      </c>
      <c r="L32" s="29" t="s">
        <v>79</v>
      </c>
      <c r="M32" s="29" t="s">
        <v>95</v>
      </c>
    </row>
    <row r="33" spans="2:13">
      <c r="B33" s="36"/>
      <c r="C33" s="50">
        <v>46140</v>
      </c>
      <c r="D33" s="51">
        <v>55.5</v>
      </c>
      <c r="E33" s="27"/>
      <c r="F33" s="27"/>
      <c r="G33" s="27">
        <v>10.5</v>
      </c>
      <c r="H33" s="27">
        <v>65.5</v>
      </c>
      <c r="I33" s="27">
        <f>SUM(D33:H33)</f>
        <v>131.5</v>
      </c>
      <c r="J33" s="28"/>
      <c r="K33" s="23">
        <f>IF(I33=0,0,I33-328.2)</f>
        <v>-196.7</v>
      </c>
      <c r="L33" s="29" t="s">
        <v>83</v>
      </c>
      <c r="M33" s="29" t="s">
        <v>82</v>
      </c>
    </row>
    <row r="34" spans="2:13">
      <c r="B34" s="36"/>
      <c r="C34" s="50">
        <v>46141</v>
      </c>
      <c r="D34" s="51">
        <v>105.5</v>
      </c>
      <c r="E34" s="27"/>
      <c r="F34" s="27">
        <v>125.5</v>
      </c>
      <c r="G34" s="27">
        <v>30.5</v>
      </c>
      <c r="H34" s="27"/>
      <c r="I34" s="27">
        <f>SUM(D34:H34)</f>
        <v>261.5</v>
      </c>
      <c r="J34" s="28"/>
      <c r="K34" s="23">
        <f>IF(I34=0,0,I34-328.2)</f>
        <v>-66.7</v>
      </c>
      <c r="L34" s="29" t="s">
        <v>86</v>
      </c>
      <c r="M34" s="29" t="s">
        <v>75</v>
      </c>
    </row>
    <row r="35" spans="2:13">
      <c r="B35" s="36"/>
      <c r="C35" s="50">
        <v>46142</v>
      </c>
      <c r="D35" s="51">
        <v>45.5</v>
      </c>
      <c r="E35" s="27">
        <v>185.5</v>
      </c>
      <c r="F35" s="27">
        <v>85.5</v>
      </c>
      <c r="G35" s="27"/>
      <c r="H35" s="27">
        <v>50.5</v>
      </c>
      <c r="I35" s="27">
        <f>SUM(D35:H35)</f>
        <v>367</v>
      </c>
      <c r="J35" s="28"/>
      <c r="K35" s="23">
        <f>IF(I35=0,0,I35-328.2)</f>
        <v>38.8</v>
      </c>
      <c r="L35" s="29" t="s">
        <v>79</v>
      </c>
      <c r="M35" s="29" t="s">
        <v>75</v>
      </c>
    </row>
    <row r="36" spans="2:13">
      <c r="B36" s="36"/>
      <c r="C36" s="50"/>
      <c r="D36" s="51"/>
      <c r="E36" s="27"/>
      <c r="F36" s="27"/>
      <c r="G36" s="27"/>
      <c r="H36" s="27"/>
      <c r="I36" s="27">
        <f>SUM(D36:H36)</f>
        <v>0</v>
      </c>
      <c r="J36" s="28"/>
      <c r="K36" s="23">
        <f>IF(I36=0,0,I36-328.2)</f>
        <v>0</v>
      </c>
      <c r="L36" s="29"/>
      <c r="M36" s="29"/>
    </row>
    <row r="37" ht="17.55" spans="2:13">
      <c r="B37" s="62" t="s">
        <v>77</v>
      </c>
      <c r="C37" s="63"/>
      <c r="D37" s="64"/>
      <c r="E37" s="40"/>
      <c r="F37" s="40"/>
      <c r="G37" s="40"/>
      <c r="H37" s="40"/>
      <c r="I37" s="40"/>
      <c r="J37" s="41">
        <f>SUM(I32:I36)</f>
        <v>1137.5</v>
      </c>
      <c r="K37" s="34"/>
      <c r="L37" s="42"/>
      <c r="M37" s="43"/>
    </row>
    <row r="38" ht="27" customHeight="1" spans="2:13">
      <c r="B38" s="65" t="s">
        <v>109</v>
      </c>
      <c r="C38" s="65"/>
      <c r="D38" s="65"/>
      <c r="E38" s="65"/>
      <c r="F38" s="65"/>
      <c r="G38" s="65"/>
      <c r="H38" s="65"/>
      <c r="I38" s="65"/>
      <c r="J38" s="66">
        <f>SUM(J13:J37)</f>
        <v>7234</v>
      </c>
      <c r="K38" s="66"/>
      <c r="L38" s="67"/>
      <c r="M38" s="67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1.62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13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/>
      <c r="D8" s="21"/>
      <c r="E8" s="22"/>
      <c r="F8" s="22"/>
      <c r="G8" s="22"/>
      <c r="H8" s="22"/>
      <c r="I8" s="22">
        <f>SUM(D8:H8)</f>
        <v>0</v>
      </c>
      <c r="J8" s="23"/>
      <c r="K8" s="23">
        <f>IF(I8=0,0,I8-328.2)</f>
        <v>0</v>
      </c>
      <c r="L8" s="24"/>
      <c r="M8" s="25"/>
    </row>
    <row r="9" spans="2:13">
      <c r="B9" s="19"/>
      <c r="C9" s="20"/>
      <c r="D9" s="26"/>
      <c r="E9" s="27"/>
      <c r="F9" s="27"/>
      <c r="G9" s="27"/>
      <c r="H9" s="27"/>
      <c r="I9" s="27">
        <f>SUM(D9:H9)</f>
        <v>0</v>
      </c>
      <c r="J9" s="28"/>
      <c r="K9" s="23">
        <f>IF(I9=0,0,I9-328.2)</f>
        <v>0</v>
      </c>
      <c r="L9" s="29"/>
      <c r="M9" s="29"/>
    </row>
    <row r="10" spans="2:13">
      <c r="B10" s="19"/>
      <c r="C10" s="20"/>
      <c r="D10" s="26"/>
      <c r="E10" s="27"/>
      <c r="F10" s="27"/>
      <c r="G10" s="27"/>
      <c r="H10" s="27"/>
      <c r="I10" s="27">
        <f>SUM(D10:H10)</f>
        <v>0</v>
      </c>
      <c r="J10" s="28"/>
      <c r="K10" s="23">
        <f>IF(I10=0,0,I10-328.2)</f>
        <v>0</v>
      </c>
      <c r="L10" s="29"/>
      <c r="M10" s="29"/>
    </row>
    <row r="11" spans="2:13">
      <c r="B11" s="19"/>
      <c r="C11" s="20"/>
      <c r="D11" s="26"/>
      <c r="E11" s="27"/>
      <c r="F11" s="27"/>
      <c r="G11" s="27"/>
      <c r="H11" s="27"/>
      <c r="I11" s="27">
        <f>SUM(D11:H11)</f>
        <v>0</v>
      </c>
      <c r="J11" s="28"/>
      <c r="K11" s="23">
        <f>IF(I11=0,0,I11-328.2)</f>
        <v>0</v>
      </c>
      <c r="L11" s="29"/>
      <c r="M11" s="29"/>
    </row>
    <row r="12" spans="2:13">
      <c r="B12" s="19"/>
      <c r="C12" s="20">
        <v>46143</v>
      </c>
      <c r="D12" s="26">
        <v>75.5</v>
      </c>
      <c r="E12" s="27">
        <v>150.5</v>
      </c>
      <c r="F12" s="27"/>
      <c r="G12" s="27"/>
      <c r="H12" s="27">
        <v>50.5</v>
      </c>
      <c r="I12" s="27">
        <f>SUM(D12:H12)</f>
        <v>276.5</v>
      </c>
      <c r="J12" s="28"/>
      <c r="K12" s="23">
        <f>IF(I12=0,0,I12-328.2)</f>
        <v>-51.7</v>
      </c>
      <c r="L12" s="29" t="s">
        <v>81</v>
      </c>
      <c r="M12" s="29" t="s">
        <v>73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276.5</v>
      </c>
      <c r="K13" s="34"/>
      <c r="L13" s="35"/>
      <c r="M13" s="35"/>
    </row>
    <row r="14" spans="2:13">
      <c r="B14" s="36" t="s">
        <v>78</v>
      </c>
      <c r="C14" s="20">
        <v>46146</v>
      </c>
      <c r="D14" s="26">
        <v>60.5</v>
      </c>
      <c r="E14" s="27">
        <v>200.5</v>
      </c>
      <c r="F14" s="27">
        <v>115.5</v>
      </c>
      <c r="G14" s="27">
        <v>25.5</v>
      </c>
      <c r="H14" s="27">
        <v>80.5</v>
      </c>
      <c r="I14" s="27">
        <f>SUM(D14:H14)</f>
        <v>482.5</v>
      </c>
      <c r="J14" s="28"/>
      <c r="K14" s="23">
        <f>IF(I14=0,0,I14-328.2)</f>
        <v>154.3</v>
      </c>
      <c r="L14" s="29" t="s">
        <v>86</v>
      </c>
      <c r="M14" s="29" t="s">
        <v>95</v>
      </c>
    </row>
    <row r="15" spans="2:13">
      <c r="B15" s="36"/>
      <c r="C15" s="20">
        <v>46147</v>
      </c>
      <c r="D15" s="26">
        <v>35.5</v>
      </c>
      <c r="E15" s="27">
        <v>130.5</v>
      </c>
      <c r="F15" s="27"/>
      <c r="G15" s="27"/>
      <c r="H15" s="27">
        <v>45.5</v>
      </c>
      <c r="I15" s="27">
        <f>SUM(D15:H15)</f>
        <v>211.5</v>
      </c>
      <c r="J15" s="28"/>
      <c r="K15" s="23">
        <f>IF(I15=0,0,I15-328.2)</f>
        <v>-116.7</v>
      </c>
      <c r="L15" s="29" t="s">
        <v>71</v>
      </c>
      <c r="M15" s="29" t="s">
        <v>75</v>
      </c>
    </row>
    <row r="16" spans="2:13">
      <c r="B16" s="36"/>
      <c r="C16" s="20">
        <v>46148</v>
      </c>
      <c r="D16" s="26">
        <v>105.5</v>
      </c>
      <c r="E16" s="27">
        <v>230.5</v>
      </c>
      <c r="F16" s="27">
        <v>65.5</v>
      </c>
      <c r="G16" s="27">
        <v>25.5</v>
      </c>
      <c r="H16" s="27">
        <v>65.5</v>
      </c>
      <c r="I16" s="27">
        <f>SUM(D16:H16)</f>
        <v>492.5</v>
      </c>
      <c r="J16" s="28"/>
      <c r="K16" s="23">
        <f>IF(I16=0,0,I16-328.2)</f>
        <v>164.3</v>
      </c>
      <c r="L16" s="29" t="s">
        <v>81</v>
      </c>
      <c r="M16" s="29" t="s">
        <v>101</v>
      </c>
    </row>
    <row r="17" spans="2:13">
      <c r="B17" s="36"/>
      <c r="C17" s="20">
        <v>46149</v>
      </c>
      <c r="D17" s="26"/>
      <c r="E17" s="27"/>
      <c r="F17" s="27"/>
      <c r="G17" s="27"/>
      <c r="H17" s="27"/>
      <c r="I17" s="27">
        <f>SUM(D17:H17)</f>
        <v>0</v>
      </c>
      <c r="J17" s="28"/>
      <c r="K17" s="23">
        <f>IF(I17=0,0,I17-328.2)</f>
        <v>0</v>
      </c>
      <c r="L17" s="29"/>
      <c r="M17" s="29" t="s">
        <v>74</v>
      </c>
    </row>
    <row r="18" spans="2:13">
      <c r="B18" s="36"/>
      <c r="C18" s="20">
        <v>46150</v>
      </c>
      <c r="D18" s="26"/>
      <c r="E18" s="27">
        <v>145.5</v>
      </c>
      <c r="F18" s="27">
        <v>60.5</v>
      </c>
      <c r="G18" s="27">
        <v>20.5</v>
      </c>
      <c r="H18" s="27">
        <v>40.5</v>
      </c>
      <c r="I18" s="27">
        <f>SUM(D18:H18)</f>
        <v>267</v>
      </c>
      <c r="J18" s="28"/>
      <c r="K18" s="23">
        <f>IF(I18=0,0,I18-328.2)</f>
        <v>-61.2</v>
      </c>
      <c r="L18" s="29" t="s">
        <v>72</v>
      </c>
      <c r="M18" s="29" t="s">
        <v>82</v>
      </c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1453.5</v>
      </c>
      <c r="K19" s="34"/>
      <c r="L19" s="35"/>
      <c r="M19" s="35"/>
    </row>
    <row r="20" spans="2:13">
      <c r="B20" s="36" t="s">
        <v>84</v>
      </c>
      <c r="C20" s="20">
        <v>46153</v>
      </c>
      <c r="D20" s="26">
        <v>45.5</v>
      </c>
      <c r="E20" s="27"/>
      <c r="F20" s="27">
        <v>95.5</v>
      </c>
      <c r="G20" s="27"/>
      <c r="H20" s="27">
        <v>50.5</v>
      </c>
      <c r="I20" s="27">
        <f>SUM(D20:H20)</f>
        <v>191.5</v>
      </c>
      <c r="J20" s="28"/>
      <c r="K20" s="23">
        <f>IF(I20=0,0,I20-328.2)</f>
        <v>-136.7</v>
      </c>
      <c r="L20" s="29" t="s">
        <v>71</v>
      </c>
      <c r="M20" s="29" t="s">
        <v>75</v>
      </c>
    </row>
    <row r="21" spans="2:13">
      <c r="B21" s="36"/>
      <c r="C21" s="20">
        <v>46154</v>
      </c>
      <c r="D21" s="26">
        <v>50.5</v>
      </c>
      <c r="E21" s="27">
        <v>120.5</v>
      </c>
      <c r="F21" s="27">
        <v>75.5</v>
      </c>
      <c r="G21" s="27"/>
      <c r="H21" s="27"/>
      <c r="I21" s="27">
        <f>SUM(D21:H21)</f>
        <v>246.5</v>
      </c>
      <c r="J21" s="28"/>
      <c r="K21" s="23">
        <f>IF(I21=0,0,I21-328.2)</f>
        <v>-81.7</v>
      </c>
      <c r="L21" s="29" t="s">
        <v>79</v>
      </c>
      <c r="M21" s="29"/>
    </row>
    <row r="22" spans="2:13">
      <c r="B22" s="36"/>
      <c r="C22" s="20">
        <v>46155</v>
      </c>
      <c r="D22" s="26">
        <v>70.5</v>
      </c>
      <c r="E22" s="27"/>
      <c r="F22" s="27">
        <v>65.5</v>
      </c>
      <c r="G22" s="27">
        <v>15.5</v>
      </c>
      <c r="H22" s="27">
        <v>80.5</v>
      </c>
      <c r="I22" s="27">
        <f>SUM(D22:H22)</f>
        <v>232</v>
      </c>
      <c r="J22" s="28"/>
      <c r="K22" s="23">
        <f>IF(I22=0,0,I22-328.2)</f>
        <v>-96.2</v>
      </c>
      <c r="L22" s="29" t="s">
        <v>72</v>
      </c>
      <c r="M22" s="29" t="s">
        <v>75</v>
      </c>
    </row>
    <row r="23" spans="2:13">
      <c r="B23" s="36"/>
      <c r="C23" s="20">
        <v>46156</v>
      </c>
      <c r="D23" s="26"/>
      <c r="E23" s="27"/>
      <c r="F23" s="27"/>
      <c r="G23" s="27"/>
      <c r="H23" s="27"/>
      <c r="I23" s="27">
        <f>SUM(D23:H23)</f>
        <v>0</v>
      </c>
      <c r="J23" s="28"/>
      <c r="K23" s="23">
        <f>IF(I23=0,0,I23-328.2)</f>
        <v>0</v>
      </c>
      <c r="L23" s="29"/>
      <c r="M23" s="29" t="s">
        <v>74</v>
      </c>
    </row>
    <row r="24" spans="2:13">
      <c r="B24" s="36"/>
      <c r="C24" s="20">
        <v>46157</v>
      </c>
      <c r="D24" s="26"/>
      <c r="E24" s="27">
        <v>365.5</v>
      </c>
      <c r="F24" s="27">
        <v>145.5</v>
      </c>
      <c r="G24" s="27">
        <v>15.5</v>
      </c>
      <c r="H24" s="27">
        <v>80.5</v>
      </c>
      <c r="I24" s="27">
        <f>SUM(D24:H24)</f>
        <v>607</v>
      </c>
      <c r="J24" s="28"/>
      <c r="K24" s="23">
        <f>IF(I24=0,0,I24-328.2)</f>
        <v>278.8</v>
      </c>
      <c r="L24" s="29" t="s">
        <v>71</v>
      </c>
      <c r="M24" s="29" t="s">
        <v>96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1277</v>
      </c>
      <c r="K25" s="34"/>
      <c r="L25" s="35"/>
      <c r="M25" s="35"/>
    </row>
    <row r="26" spans="2:13">
      <c r="B26" s="36" t="s">
        <v>88</v>
      </c>
      <c r="C26" s="20">
        <v>46160</v>
      </c>
      <c r="D26" s="26">
        <v>60.5</v>
      </c>
      <c r="E26" s="27">
        <v>195.5</v>
      </c>
      <c r="F26" s="27">
        <v>75.5</v>
      </c>
      <c r="G26" s="27">
        <v>25.5</v>
      </c>
      <c r="H26" s="27">
        <v>87.5</v>
      </c>
      <c r="I26" s="27">
        <f>SUM(D26:H26)</f>
        <v>444.5</v>
      </c>
      <c r="J26" s="28"/>
      <c r="K26" s="23">
        <f>IF(I26=0,0,I26-328.2)</f>
        <v>116.3</v>
      </c>
      <c r="L26" s="29" t="s">
        <v>87</v>
      </c>
      <c r="M26" s="29" t="s">
        <v>73</v>
      </c>
    </row>
    <row r="27" spans="2:13">
      <c r="B27" s="36"/>
      <c r="C27" s="20">
        <v>46161</v>
      </c>
      <c r="D27" s="26"/>
      <c r="E27" s="27"/>
      <c r="F27" s="27"/>
      <c r="G27" s="27"/>
      <c r="H27" s="27"/>
      <c r="I27" s="27">
        <f>SUM(D27:H27)</f>
        <v>0</v>
      </c>
      <c r="J27" s="28"/>
      <c r="K27" s="23">
        <f>IF(I27=0,0,I27-328.2)</f>
        <v>0</v>
      </c>
      <c r="L27" s="29"/>
      <c r="M27" s="29" t="s">
        <v>74</v>
      </c>
    </row>
    <row r="28" spans="2:13">
      <c r="B28" s="36"/>
      <c r="C28" s="20">
        <v>46162</v>
      </c>
      <c r="D28" s="26"/>
      <c r="E28" s="27"/>
      <c r="F28" s="27"/>
      <c r="G28" s="27"/>
      <c r="H28" s="27"/>
      <c r="I28" s="27">
        <f>SUM(D28:H28)</f>
        <v>0</v>
      </c>
      <c r="J28" s="28"/>
      <c r="K28" s="23">
        <f>IF(I28=0,0,I28-328.2)</f>
        <v>0</v>
      </c>
      <c r="L28" s="29"/>
      <c r="M28" s="29" t="s">
        <v>74</v>
      </c>
    </row>
    <row r="29" spans="2:13">
      <c r="B29" s="36"/>
      <c r="C29" s="20">
        <v>46163</v>
      </c>
      <c r="D29" s="26">
        <v>90.5</v>
      </c>
      <c r="E29" s="27">
        <v>190.5</v>
      </c>
      <c r="F29" s="27">
        <v>100.5</v>
      </c>
      <c r="G29" s="27">
        <v>20.5</v>
      </c>
      <c r="H29" s="27">
        <v>65.5</v>
      </c>
      <c r="I29" s="27">
        <f>SUM(D29:H29)</f>
        <v>467.5</v>
      </c>
      <c r="J29" s="28"/>
      <c r="K29" s="23">
        <f>IF(I29=0,0,I29-328.2)</f>
        <v>139.3</v>
      </c>
      <c r="L29" s="29" t="s">
        <v>79</v>
      </c>
      <c r="M29" s="29" t="s">
        <v>95</v>
      </c>
    </row>
    <row r="30" spans="2:13">
      <c r="B30" s="36"/>
      <c r="C30" s="20">
        <v>46164</v>
      </c>
      <c r="D30" s="26">
        <v>90.5</v>
      </c>
      <c r="E30" s="27">
        <v>180.5</v>
      </c>
      <c r="F30" s="27"/>
      <c r="G30" s="27"/>
      <c r="H30" s="27">
        <v>67.5</v>
      </c>
      <c r="I30" s="27">
        <f>SUM(D30:H30)</f>
        <v>338.5</v>
      </c>
      <c r="J30" s="28"/>
      <c r="K30" s="23">
        <f>IF(I30=0,0,I30-328.2)</f>
        <v>10.3</v>
      </c>
      <c r="L30" s="29" t="s">
        <v>86</v>
      </c>
      <c r="M30" s="29" t="s">
        <v>75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1250.5</v>
      </c>
      <c r="K31" s="34"/>
      <c r="L31" s="35"/>
      <c r="M31" s="35"/>
    </row>
    <row r="32" spans="2:13">
      <c r="B32" s="36" t="s">
        <v>91</v>
      </c>
      <c r="C32" s="20">
        <v>46167</v>
      </c>
      <c r="D32" s="26">
        <v>60.5</v>
      </c>
      <c r="E32" s="27">
        <v>150.5</v>
      </c>
      <c r="F32" s="27">
        <v>80.5</v>
      </c>
      <c r="G32" s="27"/>
      <c r="H32" s="27">
        <v>30.5</v>
      </c>
      <c r="I32" s="27">
        <f>SUM(D32:H32)</f>
        <v>322</v>
      </c>
      <c r="J32" s="37"/>
      <c r="K32" s="23">
        <f>IF(I32=0,0,I32-328.2)</f>
        <v>-6.19999999999999</v>
      </c>
      <c r="L32" s="29" t="s">
        <v>80</v>
      </c>
      <c r="M32" s="29" t="s">
        <v>75</v>
      </c>
    </row>
    <row r="33" spans="2:13">
      <c r="B33" s="36"/>
      <c r="C33" s="20">
        <v>46168</v>
      </c>
      <c r="D33" s="26">
        <v>40.5</v>
      </c>
      <c r="E33" s="27">
        <v>155.5</v>
      </c>
      <c r="F33" s="27"/>
      <c r="G33" s="27">
        <v>25.5</v>
      </c>
      <c r="H33" s="27">
        <v>40.5</v>
      </c>
      <c r="I33" s="27">
        <f>SUM(D33:H33)</f>
        <v>262</v>
      </c>
      <c r="J33" s="28"/>
      <c r="K33" s="23">
        <f>IF(I33=0,0,I33-328.2)</f>
        <v>-66.2</v>
      </c>
      <c r="L33" s="29" t="s">
        <v>81</v>
      </c>
      <c r="M33" s="29" t="s">
        <v>90</v>
      </c>
    </row>
    <row r="34" spans="2:13">
      <c r="B34" s="36"/>
      <c r="C34" s="20">
        <v>46169</v>
      </c>
      <c r="D34" s="26">
        <v>65.5</v>
      </c>
      <c r="E34" s="27">
        <v>120.5</v>
      </c>
      <c r="F34" s="27">
        <v>80.5</v>
      </c>
      <c r="G34" s="27">
        <v>15.5</v>
      </c>
      <c r="H34" s="27">
        <v>60.5</v>
      </c>
      <c r="I34" s="27">
        <f>SUM(D34:H34)</f>
        <v>342.5</v>
      </c>
      <c r="J34" s="28"/>
      <c r="K34" s="23">
        <f>IF(I34=0,0,I34-328.2)</f>
        <v>14.3</v>
      </c>
      <c r="L34" s="29" t="s">
        <v>87</v>
      </c>
      <c r="M34" s="29" t="s">
        <v>75</v>
      </c>
    </row>
    <row r="35" spans="2:13">
      <c r="B35" s="36"/>
      <c r="C35" s="20">
        <v>46170</v>
      </c>
      <c r="D35" s="26">
        <v>45.5</v>
      </c>
      <c r="E35" s="27">
        <v>180.5</v>
      </c>
      <c r="F35" s="27">
        <v>45.5</v>
      </c>
      <c r="G35" s="27"/>
      <c r="H35" s="27">
        <v>90.5</v>
      </c>
      <c r="I35" s="27">
        <f>SUM(D35:H35)</f>
        <v>362</v>
      </c>
      <c r="J35" s="28"/>
      <c r="K35" s="23">
        <f>IF(I35=0,0,I35-328.2)</f>
        <v>33.8</v>
      </c>
      <c r="L35" s="29" t="s">
        <v>87</v>
      </c>
      <c r="M35" s="29"/>
    </row>
    <row r="36" spans="2:13">
      <c r="B36" s="36"/>
      <c r="C36" s="20">
        <v>46171</v>
      </c>
      <c r="D36" s="26">
        <v>57.5</v>
      </c>
      <c r="E36" s="27">
        <v>170.5</v>
      </c>
      <c r="F36" s="27"/>
      <c r="G36" s="27"/>
      <c r="H36" s="27">
        <v>65.5</v>
      </c>
      <c r="I36" s="27">
        <f>SUM(D36:H36)</f>
        <v>293.5</v>
      </c>
      <c r="J36" s="28"/>
      <c r="K36" s="23">
        <f>IF(I36=0,0,I36-328.2)</f>
        <v>-34.7</v>
      </c>
      <c r="L36" s="29" t="s">
        <v>72</v>
      </c>
      <c r="M36" s="29" t="s">
        <v>75</v>
      </c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1582</v>
      </c>
      <c r="K37" s="34"/>
      <c r="L37" s="42"/>
      <c r="M37" s="43"/>
    </row>
    <row r="38" ht="27" customHeight="1" spans="2:13">
      <c r="B38" s="44" t="s">
        <v>110</v>
      </c>
      <c r="C38" s="44"/>
      <c r="D38" s="44"/>
      <c r="E38" s="44"/>
      <c r="F38" s="44"/>
      <c r="G38" s="44"/>
      <c r="H38" s="44"/>
      <c r="I38" s="44"/>
      <c r="J38" s="45">
        <f>SUM(J13:J37)</f>
        <v>5839.5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0.12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111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>
        <v>46174</v>
      </c>
      <c r="D8" s="21"/>
      <c r="E8" s="22">
        <v>180.5</v>
      </c>
      <c r="F8" s="22">
        <v>65.5</v>
      </c>
      <c r="G8" s="22"/>
      <c r="H8" s="22">
        <v>65.5</v>
      </c>
      <c r="I8" s="22">
        <f>SUM(D8:H8)</f>
        <v>311.5</v>
      </c>
      <c r="J8" s="23"/>
      <c r="K8" s="23">
        <f>IF(I8=0,0,I8-328.2)</f>
        <v>-16.7</v>
      </c>
      <c r="L8" s="24" t="s">
        <v>86</v>
      </c>
      <c r="M8" s="25" t="s">
        <v>73</v>
      </c>
    </row>
    <row r="9" spans="2:13">
      <c r="B9" s="19"/>
      <c r="C9" s="20">
        <v>46175</v>
      </c>
      <c r="D9" s="26">
        <v>75.5</v>
      </c>
      <c r="E9" s="27"/>
      <c r="F9" s="27">
        <v>80.5</v>
      </c>
      <c r="G9" s="27"/>
      <c r="H9" s="27">
        <v>40.5</v>
      </c>
      <c r="I9" s="27">
        <f>SUM(D9:H9)</f>
        <v>196.5</v>
      </c>
      <c r="J9" s="28"/>
      <c r="K9" s="23">
        <f>IF(I9=0,0,I9-328.2)</f>
        <v>-131.7</v>
      </c>
      <c r="L9" s="29" t="s">
        <v>72</v>
      </c>
      <c r="M9" s="29" t="s">
        <v>93</v>
      </c>
    </row>
    <row r="10" spans="2:13">
      <c r="B10" s="19"/>
      <c r="C10" s="20">
        <v>46176</v>
      </c>
      <c r="D10" s="26">
        <v>50.5</v>
      </c>
      <c r="E10" s="27">
        <v>125.5</v>
      </c>
      <c r="F10" s="27"/>
      <c r="G10" s="27">
        <v>20.5</v>
      </c>
      <c r="H10" s="27">
        <v>30.5</v>
      </c>
      <c r="I10" s="27">
        <f>SUM(D10:H10)</f>
        <v>227</v>
      </c>
      <c r="J10" s="28"/>
      <c r="K10" s="23">
        <f>IF(I10=0,0,I10-328.2)</f>
        <v>-101.2</v>
      </c>
      <c r="L10" s="29" t="s">
        <v>87</v>
      </c>
      <c r="M10" s="29" t="s">
        <v>75</v>
      </c>
    </row>
    <row r="11" spans="2:13">
      <c r="B11" s="19"/>
      <c r="C11" s="20">
        <v>46177</v>
      </c>
      <c r="D11" s="26">
        <v>95.5</v>
      </c>
      <c r="E11" s="27">
        <v>195.5</v>
      </c>
      <c r="F11" s="27">
        <v>65.5</v>
      </c>
      <c r="G11" s="27"/>
      <c r="H11" s="27">
        <v>100.5</v>
      </c>
      <c r="I11" s="27">
        <f>SUM(D11:H11)</f>
        <v>457</v>
      </c>
      <c r="J11" s="28"/>
      <c r="K11" s="23">
        <f>IF(I11=0,0,I11-328.2)</f>
        <v>128.8</v>
      </c>
      <c r="L11" s="29" t="s">
        <v>83</v>
      </c>
      <c r="M11" s="29" t="s">
        <v>101</v>
      </c>
    </row>
    <row r="12" spans="2:13">
      <c r="B12" s="19"/>
      <c r="C12" s="20">
        <v>46178</v>
      </c>
      <c r="D12" s="26">
        <v>100.5</v>
      </c>
      <c r="E12" s="27">
        <v>150.5</v>
      </c>
      <c r="F12" s="27">
        <v>130.5</v>
      </c>
      <c r="G12" s="27">
        <v>30.5</v>
      </c>
      <c r="H12" s="27"/>
      <c r="I12" s="27">
        <f>SUM(D12:H12)</f>
        <v>412</v>
      </c>
      <c r="J12" s="28"/>
      <c r="K12" s="23">
        <f>IF(I12=0,0,I12-328.2)</f>
        <v>83.8</v>
      </c>
      <c r="L12" s="29" t="s">
        <v>79</v>
      </c>
      <c r="M12" s="29" t="s">
        <v>101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1604</v>
      </c>
      <c r="K13" s="34"/>
      <c r="L13" s="35"/>
      <c r="M13" s="35"/>
    </row>
    <row r="14" spans="2:13">
      <c r="B14" s="36" t="s">
        <v>78</v>
      </c>
      <c r="C14" s="20">
        <v>46181</v>
      </c>
      <c r="D14" s="26"/>
      <c r="E14" s="27">
        <v>160.5</v>
      </c>
      <c r="F14" s="27">
        <v>60.5</v>
      </c>
      <c r="G14" s="27"/>
      <c r="H14" s="27">
        <v>100.5</v>
      </c>
      <c r="I14" s="27">
        <f>SUM(D14:H14)</f>
        <v>321.5</v>
      </c>
      <c r="J14" s="28"/>
      <c r="K14" s="23">
        <f>IF(I14=0,0,I14-328.2)</f>
        <v>-6.69999999999999</v>
      </c>
      <c r="L14" s="29" t="s">
        <v>80</v>
      </c>
      <c r="M14" s="29" t="s">
        <v>90</v>
      </c>
    </row>
    <row r="15" spans="2:13">
      <c r="B15" s="36"/>
      <c r="C15" s="20">
        <v>46182</v>
      </c>
      <c r="D15" s="26">
        <v>110.5</v>
      </c>
      <c r="E15" s="27">
        <v>200.5</v>
      </c>
      <c r="F15" s="27">
        <v>105.5</v>
      </c>
      <c r="G15" s="27">
        <v>10.5</v>
      </c>
      <c r="H15" s="27"/>
      <c r="I15" s="27">
        <f>SUM(D15:H15)</f>
        <v>427</v>
      </c>
      <c r="J15" s="28"/>
      <c r="K15" s="23">
        <f>IF(I15=0,0,I15-328.2)</f>
        <v>98.8</v>
      </c>
      <c r="L15" s="29" t="s">
        <v>72</v>
      </c>
      <c r="M15" s="29" t="s">
        <v>73</v>
      </c>
    </row>
    <row r="16" spans="2:13">
      <c r="B16" s="36"/>
      <c r="C16" s="20">
        <v>46183</v>
      </c>
      <c r="D16" s="26">
        <v>60.5</v>
      </c>
      <c r="E16" s="27">
        <v>215.5</v>
      </c>
      <c r="F16" s="27"/>
      <c r="G16" s="27">
        <v>20.5</v>
      </c>
      <c r="H16" s="27">
        <v>30.5</v>
      </c>
      <c r="I16" s="27">
        <f>SUM(D16:H16)</f>
        <v>327</v>
      </c>
      <c r="J16" s="28"/>
      <c r="K16" s="23">
        <f>IF(I16=0,0,I16-328.2)</f>
        <v>-1.19999999999999</v>
      </c>
      <c r="L16" s="29" t="s">
        <v>86</v>
      </c>
      <c r="M16" s="29" t="s">
        <v>82</v>
      </c>
    </row>
    <row r="17" spans="2:13">
      <c r="B17" s="36"/>
      <c r="C17" s="20">
        <v>46184</v>
      </c>
      <c r="D17" s="26">
        <v>50.5</v>
      </c>
      <c r="E17" s="27">
        <v>140.5</v>
      </c>
      <c r="F17" s="27">
        <v>90.5</v>
      </c>
      <c r="G17" s="27">
        <v>30.5</v>
      </c>
      <c r="H17" s="27">
        <v>30.5</v>
      </c>
      <c r="I17" s="27">
        <f>SUM(D17:H17)</f>
        <v>342.5</v>
      </c>
      <c r="J17" s="28"/>
      <c r="K17" s="23">
        <f>IF(I17=0,0,I17-328.2)</f>
        <v>14.3</v>
      </c>
      <c r="L17" s="29" t="s">
        <v>86</v>
      </c>
      <c r="M17" s="29" t="s">
        <v>75</v>
      </c>
    </row>
    <row r="18" spans="2:13">
      <c r="B18" s="36"/>
      <c r="C18" s="20">
        <v>46185</v>
      </c>
      <c r="D18" s="26">
        <v>70.5</v>
      </c>
      <c r="E18" s="27"/>
      <c r="F18" s="27"/>
      <c r="G18" s="27">
        <v>15.5</v>
      </c>
      <c r="H18" s="27"/>
      <c r="I18" s="27">
        <f>SUM(D18:H18)</f>
        <v>86</v>
      </c>
      <c r="J18" s="28"/>
      <c r="K18" s="23">
        <f>IF(I18=0,0,I18-328.2)</f>
        <v>-242.2</v>
      </c>
      <c r="L18" s="29" t="s">
        <v>79</v>
      </c>
      <c r="M18" s="29" t="s">
        <v>75</v>
      </c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1504</v>
      </c>
      <c r="K19" s="34"/>
      <c r="L19" s="35"/>
      <c r="M19" s="35"/>
    </row>
    <row r="20" spans="2:13">
      <c r="B20" s="36" t="s">
        <v>84</v>
      </c>
      <c r="C20" s="20">
        <v>46188</v>
      </c>
      <c r="D20" s="26">
        <v>65.5</v>
      </c>
      <c r="E20" s="27"/>
      <c r="F20" s="27">
        <v>60.5</v>
      </c>
      <c r="G20" s="27">
        <v>25.5</v>
      </c>
      <c r="H20" s="27">
        <v>30.5</v>
      </c>
      <c r="I20" s="27">
        <f>SUM(D20:H20)</f>
        <v>182</v>
      </c>
      <c r="J20" s="28"/>
      <c r="K20" s="23">
        <f>IF(I20=0,0,I20-328.2)</f>
        <v>-146.2</v>
      </c>
      <c r="L20" s="29" t="s">
        <v>83</v>
      </c>
      <c r="M20" s="29"/>
    </row>
    <row r="21" spans="2:13">
      <c r="B21" s="36"/>
      <c r="C21" s="20">
        <v>46189</v>
      </c>
      <c r="D21" s="26">
        <v>70.5</v>
      </c>
      <c r="E21" s="27">
        <v>150.5</v>
      </c>
      <c r="F21" s="27">
        <v>105.5</v>
      </c>
      <c r="G21" s="27">
        <v>15.5</v>
      </c>
      <c r="H21" s="27">
        <v>40.5</v>
      </c>
      <c r="I21" s="27">
        <f>SUM(D21:H21)</f>
        <v>382.5</v>
      </c>
      <c r="J21" s="28"/>
      <c r="K21" s="23">
        <f>IF(I21=0,0,I21-328.2)</f>
        <v>54.3</v>
      </c>
      <c r="L21" s="29" t="s">
        <v>86</v>
      </c>
      <c r="M21" s="29" t="s">
        <v>75</v>
      </c>
    </row>
    <row r="22" spans="2:13">
      <c r="B22" s="36"/>
      <c r="C22" s="20">
        <v>46190</v>
      </c>
      <c r="D22" s="26">
        <v>80.5</v>
      </c>
      <c r="E22" s="27">
        <v>190.5</v>
      </c>
      <c r="F22" s="27">
        <v>55.5</v>
      </c>
      <c r="G22" s="27"/>
      <c r="H22" s="27"/>
      <c r="I22" s="27">
        <f>SUM(D22:H22)</f>
        <v>326.5</v>
      </c>
      <c r="J22" s="28"/>
      <c r="K22" s="23">
        <f>IF(I22=0,0,I22-328.2)</f>
        <v>-1.69999999999999</v>
      </c>
      <c r="L22" s="29" t="s">
        <v>81</v>
      </c>
      <c r="M22" s="29" t="s">
        <v>95</v>
      </c>
    </row>
    <row r="23" spans="2:13">
      <c r="B23" s="36"/>
      <c r="C23" s="20">
        <v>46191</v>
      </c>
      <c r="D23" s="26"/>
      <c r="E23" s="27"/>
      <c r="F23" s="27"/>
      <c r="G23" s="27"/>
      <c r="H23" s="27"/>
      <c r="I23" s="27">
        <f>SUM(D23:H23)</f>
        <v>0</v>
      </c>
      <c r="J23" s="28"/>
      <c r="K23" s="23">
        <f>IF(I23=0,0,I23-328.2)</f>
        <v>0</v>
      </c>
      <c r="L23" s="29"/>
      <c r="M23" s="29" t="s">
        <v>74</v>
      </c>
    </row>
    <row r="24" spans="2:13">
      <c r="B24" s="36"/>
      <c r="C24" s="20">
        <v>46192</v>
      </c>
      <c r="D24" s="26">
        <v>125.5</v>
      </c>
      <c r="E24" s="27">
        <v>185.5</v>
      </c>
      <c r="F24" s="27">
        <v>160.5</v>
      </c>
      <c r="G24" s="27">
        <v>30.5</v>
      </c>
      <c r="H24" s="27">
        <v>100.5</v>
      </c>
      <c r="I24" s="27">
        <f>SUM(D24:H24)</f>
        <v>602.5</v>
      </c>
      <c r="J24" s="28"/>
      <c r="K24" s="23">
        <f>IF(I24=0,0,I24-328.2)</f>
        <v>274.3</v>
      </c>
      <c r="L24" s="29" t="s">
        <v>86</v>
      </c>
      <c r="M24" s="29" t="s">
        <v>73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1493.5</v>
      </c>
      <c r="K25" s="34"/>
      <c r="L25" s="35"/>
      <c r="M25" s="35"/>
    </row>
    <row r="26" spans="2:13">
      <c r="B26" s="36" t="s">
        <v>88</v>
      </c>
      <c r="C26" s="20">
        <v>46195</v>
      </c>
      <c r="D26" s="26"/>
      <c r="E26" s="27">
        <v>110.5</v>
      </c>
      <c r="F26" s="27">
        <v>85.5</v>
      </c>
      <c r="G26" s="27">
        <v>10.5</v>
      </c>
      <c r="H26" s="27"/>
      <c r="I26" s="27">
        <f>SUM(D26:H26)</f>
        <v>206.5</v>
      </c>
      <c r="J26" s="28"/>
      <c r="K26" s="23">
        <f>IF(I26=0,0,I26-328.2)</f>
        <v>-121.7</v>
      </c>
      <c r="L26" s="29" t="s">
        <v>87</v>
      </c>
      <c r="M26" s="29" t="s">
        <v>101</v>
      </c>
    </row>
    <row r="27" spans="2:13">
      <c r="B27" s="36"/>
      <c r="C27" s="20">
        <v>46196</v>
      </c>
      <c r="D27" s="26"/>
      <c r="E27" s="27">
        <v>125.5</v>
      </c>
      <c r="F27" s="27">
        <v>55.5</v>
      </c>
      <c r="G27" s="27"/>
      <c r="H27" s="27">
        <v>80.5</v>
      </c>
      <c r="I27" s="27">
        <f>SUM(D27:H27)</f>
        <v>261.5</v>
      </c>
      <c r="J27" s="28"/>
      <c r="K27" s="23">
        <f>IF(I27=0,0,I27-328.2)</f>
        <v>-66.7</v>
      </c>
      <c r="L27" s="29" t="s">
        <v>87</v>
      </c>
      <c r="M27" s="29" t="s">
        <v>73</v>
      </c>
    </row>
    <row r="28" spans="2:13">
      <c r="B28" s="36"/>
      <c r="C28" s="20">
        <v>46197</v>
      </c>
      <c r="D28" s="26"/>
      <c r="E28" s="27"/>
      <c r="F28" s="27"/>
      <c r="G28" s="27"/>
      <c r="H28" s="27"/>
      <c r="I28" s="27">
        <f>SUM(D28:H28)</f>
        <v>0</v>
      </c>
      <c r="J28" s="28"/>
      <c r="K28" s="23">
        <f>IF(I28=0,0,I28-328.2)</f>
        <v>0</v>
      </c>
      <c r="L28" s="29"/>
      <c r="M28" s="29" t="s">
        <v>75</v>
      </c>
    </row>
    <row r="29" spans="2:13">
      <c r="B29" s="36"/>
      <c r="C29" s="20">
        <v>46198</v>
      </c>
      <c r="D29" s="26"/>
      <c r="E29" s="27">
        <v>145.5</v>
      </c>
      <c r="F29" s="27">
        <v>85.5</v>
      </c>
      <c r="G29" s="27">
        <v>10.5</v>
      </c>
      <c r="H29" s="27">
        <v>80.5</v>
      </c>
      <c r="I29" s="27">
        <f>SUM(D29:H29)</f>
        <v>322</v>
      </c>
      <c r="J29" s="28"/>
      <c r="K29" s="23">
        <f>IF(I29=0,0,I29-328.2)</f>
        <v>-6.19999999999999</v>
      </c>
      <c r="L29" s="29" t="s">
        <v>72</v>
      </c>
      <c r="M29" s="29" t="s">
        <v>73</v>
      </c>
    </row>
    <row r="30" spans="2:13">
      <c r="B30" s="36"/>
      <c r="C30" s="20">
        <v>46199</v>
      </c>
      <c r="D30" s="26"/>
      <c r="E30" s="27">
        <v>270.5</v>
      </c>
      <c r="F30" s="27">
        <v>85.5</v>
      </c>
      <c r="G30" s="27">
        <v>30.5</v>
      </c>
      <c r="H30" s="27">
        <v>100.5</v>
      </c>
      <c r="I30" s="27">
        <f>SUM(D30:H30)</f>
        <v>487</v>
      </c>
      <c r="J30" s="28"/>
      <c r="K30" s="23">
        <f>IF(I30=0,0,I30-328.2)</f>
        <v>158.8</v>
      </c>
      <c r="L30" s="29" t="s">
        <v>81</v>
      </c>
      <c r="M30" s="29" t="s">
        <v>93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1277</v>
      </c>
      <c r="K31" s="34"/>
      <c r="L31" s="35"/>
      <c r="M31" s="35"/>
    </row>
    <row r="32" spans="2:13">
      <c r="B32" s="36" t="s">
        <v>91</v>
      </c>
      <c r="C32" s="20">
        <v>46202</v>
      </c>
      <c r="D32" s="26">
        <v>75.5</v>
      </c>
      <c r="E32" s="27">
        <v>175.5</v>
      </c>
      <c r="F32" s="27"/>
      <c r="G32" s="27"/>
      <c r="H32" s="27">
        <v>65.5</v>
      </c>
      <c r="I32" s="27">
        <f>SUM(D32:H32)</f>
        <v>316.5</v>
      </c>
      <c r="J32" s="37"/>
      <c r="K32" s="23">
        <f>IF(I32=0,0,I32-328.2)</f>
        <v>-11.7</v>
      </c>
      <c r="L32" s="29" t="s">
        <v>87</v>
      </c>
      <c r="M32" s="29" t="s">
        <v>75</v>
      </c>
    </row>
    <row r="33" spans="2:13">
      <c r="B33" s="36"/>
      <c r="C33" s="20">
        <v>46203</v>
      </c>
      <c r="D33" s="26"/>
      <c r="E33" s="27">
        <v>180.5</v>
      </c>
      <c r="F33" s="27"/>
      <c r="G33" s="27">
        <v>10.5</v>
      </c>
      <c r="H33" s="27">
        <v>40.5</v>
      </c>
      <c r="I33" s="27">
        <f>SUM(D33:H33)</f>
        <v>231.5</v>
      </c>
      <c r="J33" s="28"/>
      <c r="K33" s="23">
        <f>IF(I33=0,0,I33-328.2)</f>
        <v>-96.7</v>
      </c>
      <c r="L33" s="29" t="s">
        <v>87</v>
      </c>
      <c r="M33" s="29" t="s">
        <v>95</v>
      </c>
    </row>
    <row r="34" spans="2:13">
      <c r="B34" s="36"/>
      <c r="C34" s="20"/>
      <c r="D34" s="26"/>
      <c r="E34" s="27"/>
      <c r="F34" s="27"/>
      <c r="G34" s="27"/>
      <c r="H34" s="27"/>
      <c r="I34" s="27">
        <f>SUM(D34:H34)</f>
        <v>0</v>
      </c>
      <c r="J34" s="28"/>
      <c r="K34" s="23">
        <f>IF(I34=0,0,I34-328.2)</f>
        <v>0</v>
      </c>
      <c r="L34" s="29"/>
      <c r="M34" s="29"/>
    </row>
    <row r="35" spans="2:13">
      <c r="B35" s="36"/>
      <c r="C35" s="20"/>
      <c r="D35" s="26"/>
      <c r="E35" s="27"/>
      <c r="F35" s="27"/>
      <c r="G35" s="27"/>
      <c r="H35" s="27"/>
      <c r="I35" s="27">
        <f>SUM(D35:H35)</f>
        <v>0</v>
      </c>
      <c r="J35" s="28"/>
      <c r="K35" s="23">
        <f>IF(I35=0,0,I35-328.2)</f>
        <v>0</v>
      </c>
      <c r="L35" s="29"/>
      <c r="M35" s="29"/>
    </row>
    <row r="36" spans="2:13">
      <c r="B36" s="36"/>
      <c r="C36" s="20"/>
      <c r="D36" s="26"/>
      <c r="E36" s="27"/>
      <c r="F36" s="27"/>
      <c r="G36" s="27"/>
      <c r="H36" s="27"/>
      <c r="I36" s="27">
        <f>SUM(D36:H36)</f>
        <v>0</v>
      </c>
      <c r="J36" s="28"/>
      <c r="K36" s="23">
        <f>IF(I36=0,0,I36-328.2)</f>
        <v>0</v>
      </c>
      <c r="L36" s="29"/>
      <c r="M36" s="29"/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548</v>
      </c>
      <c r="K37" s="34"/>
      <c r="L37" s="42"/>
      <c r="M37" s="43"/>
    </row>
    <row r="38" ht="27" customHeight="1" spans="2:13">
      <c r="B38" s="44" t="s">
        <v>112</v>
      </c>
      <c r="C38" s="44"/>
      <c r="D38" s="44"/>
      <c r="E38" s="44"/>
      <c r="F38" s="44"/>
      <c r="G38" s="44"/>
      <c r="H38" s="44"/>
      <c r="I38" s="44"/>
      <c r="J38" s="45">
        <f>SUM(J13:J37)</f>
        <v>6426.5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0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15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/>
      <c r="D8" s="21"/>
      <c r="E8" s="22"/>
      <c r="F8" s="22"/>
      <c r="G8" s="22"/>
      <c r="H8" s="22"/>
      <c r="I8" s="22">
        <f>SUM(D8:H8)</f>
        <v>0</v>
      </c>
      <c r="J8" s="23"/>
      <c r="K8" s="23">
        <f>IF(I8=0,0,I8-328.2)</f>
        <v>0</v>
      </c>
      <c r="L8" s="24"/>
      <c r="M8" s="25"/>
    </row>
    <row r="9" spans="2:13">
      <c r="B9" s="19"/>
      <c r="C9" s="20"/>
      <c r="D9" s="26"/>
      <c r="E9" s="27"/>
      <c r="F9" s="27"/>
      <c r="G9" s="27"/>
      <c r="H9" s="27"/>
      <c r="I9" s="27">
        <f>SUM(D9:H9)</f>
        <v>0</v>
      </c>
      <c r="J9" s="28"/>
      <c r="K9" s="23">
        <f>IF(I9=0,0,I9-328.2)</f>
        <v>0</v>
      </c>
      <c r="L9" s="29"/>
      <c r="M9" s="29"/>
    </row>
    <row r="10" spans="2:13">
      <c r="B10" s="19"/>
      <c r="C10" s="20">
        <v>46204</v>
      </c>
      <c r="D10" s="26">
        <v>34.5</v>
      </c>
      <c r="E10" s="27">
        <v>78.5</v>
      </c>
      <c r="F10" s="27"/>
      <c r="G10" s="27"/>
      <c r="H10" s="27">
        <v>80.5</v>
      </c>
      <c r="I10" s="27">
        <f>SUM(D10:H10)</f>
        <v>193.5</v>
      </c>
      <c r="J10" s="28"/>
      <c r="K10" s="23">
        <f>IF(I10=0,0,I10-328.2)</f>
        <v>-134.7</v>
      </c>
      <c r="L10" s="29"/>
      <c r="M10" s="29"/>
    </row>
    <row r="11" spans="2:13">
      <c r="B11" s="19"/>
      <c r="C11" s="20">
        <v>46205</v>
      </c>
      <c r="D11" s="26">
        <v>95.5</v>
      </c>
      <c r="E11" s="27">
        <v>135.5</v>
      </c>
      <c r="F11" s="27">
        <v>105.5</v>
      </c>
      <c r="G11" s="27">
        <v>10.5</v>
      </c>
      <c r="H11" s="27"/>
      <c r="I11" s="27">
        <f>SUM(D11:H11)</f>
        <v>347</v>
      </c>
      <c r="J11" s="28"/>
      <c r="K11" s="23">
        <f>IF(I11=0,0,I11-328.2)</f>
        <v>18.8</v>
      </c>
      <c r="L11" s="29" t="s">
        <v>72</v>
      </c>
      <c r="M11" s="29" t="s">
        <v>82</v>
      </c>
    </row>
    <row r="12" spans="2:13">
      <c r="B12" s="19"/>
      <c r="C12" s="20">
        <v>46206</v>
      </c>
      <c r="D12" s="26"/>
      <c r="E12" s="27">
        <v>265.5</v>
      </c>
      <c r="F12" s="27">
        <v>160.5</v>
      </c>
      <c r="G12" s="27">
        <v>25.5</v>
      </c>
      <c r="H12" s="27">
        <v>80.5</v>
      </c>
      <c r="I12" s="27">
        <f>SUM(D12:H12)</f>
        <v>532</v>
      </c>
      <c r="J12" s="28"/>
      <c r="K12" s="23">
        <f>IF(I12=0,0,I12-328.2)</f>
        <v>203.8</v>
      </c>
      <c r="L12" s="29" t="s">
        <v>81</v>
      </c>
      <c r="M12" s="29" t="s">
        <v>93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1072.5</v>
      </c>
      <c r="K13" s="34"/>
      <c r="L13" s="35"/>
      <c r="M13" s="35"/>
    </row>
    <row r="14" spans="2:13">
      <c r="B14" s="36" t="s">
        <v>78</v>
      </c>
      <c r="C14" s="20">
        <v>46209</v>
      </c>
      <c r="D14" s="26">
        <v>70.5</v>
      </c>
      <c r="E14" s="27">
        <v>205.5</v>
      </c>
      <c r="F14" s="27">
        <v>65.5</v>
      </c>
      <c r="G14" s="27">
        <v>15.5</v>
      </c>
      <c r="H14" s="27">
        <v>65.5</v>
      </c>
      <c r="I14" s="27">
        <f>SUM(D14:H14)</f>
        <v>422.5</v>
      </c>
      <c r="J14" s="28"/>
      <c r="K14" s="23">
        <f>IF(I14=0,0,I14-328.2)</f>
        <v>94.3</v>
      </c>
      <c r="L14" s="29" t="s">
        <v>79</v>
      </c>
      <c r="M14" s="29" t="s">
        <v>73</v>
      </c>
    </row>
    <row r="15" spans="2:13">
      <c r="B15" s="36"/>
      <c r="C15" s="20">
        <v>46210</v>
      </c>
      <c r="D15" s="26">
        <v>70.5</v>
      </c>
      <c r="E15" s="27">
        <v>230.5</v>
      </c>
      <c r="F15" s="27">
        <v>110.5</v>
      </c>
      <c r="G15" s="27"/>
      <c r="H15" s="27">
        <v>30.5</v>
      </c>
      <c r="I15" s="27">
        <f>SUM(D15:H15)</f>
        <v>442</v>
      </c>
      <c r="J15" s="28"/>
      <c r="K15" s="23">
        <f>IF(I15=0,0,I15-328.2)</f>
        <v>113.8</v>
      </c>
      <c r="L15" s="29" t="s">
        <v>72</v>
      </c>
      <c r="M15" s="29" t="s">
        <v>93</v>
      </c>
    </row>
    <row r="16" spans="2:13">
      <c r="B16" s="36"/>
      <c r="C16" s="20">
        <v>46211</v>
      </c>
      <c r="D16" s="26">
        <v>65.5</v>
      </c>
      <c r="E16" s="27">
        <v>165.5</v>
      </c>
      <c r="F16" s="27">
        <v>100.5</v>
      </c>
      <c r="G16" s="27">
        <v>10.5</v>
      </c>
      <c r="H16" s="27">
        <v>100.5</v>
      </c>
      <c r="I16" s="27">
        <f>SUM(D16:H16)</f>
        <v>442.5</v>
      </c>
      <c r="J16" s="28"/>
      <c r="K16" s="23">
        <f>IF(I16=0,0,I16-328.2)</f>
        <v>114.3</v>
      </c>
      <c r="L16" s="29" t="s">
        <v>71</v>
      </c>
      <c r="M16" s="29" t="s">
        <v>73</v>
      </c>
    </row>
    <row r="17" spans="2:13">
      <c r="B17" s="36"/>
      <c r="C17" s="20">
        <v>46212</v>
      </c>
      <c r="D17" s="26"/>
      <c r="E17" s="27"/>
      <c r="F17" s="27"/>
      <c r="G17" s="27"/>
      <c r="H17" s="27"/>
      <c r="I17" s="27">
        <f>SUM(D17:H17)</f>
        <v>0</v>
      </c>
      <c r="J17" s="28"/>
      <c r="K17" s="23">
        <f>IF(I17=0,0,I17-328.2)</f>
        <v>0</v>
      </c>
      <c r="L17" s="29"/>
      <c r="M17" s="29" t="s">
        <v>74</v>
      </c>
    </row>
    <row r="18" spans="2:13">
      <c r="B18" s="36"/>
      <c r="C18" s="20">
        <v>46213</v>
      </c>
      <c r="D18" s="26">
        <v>70.5</v>
      </c>
      <c r="E18" s="27">
        <v>300.5</v>
      </c>
      <c r="F18" s="27">
        <v>150.5</v>
      </c>
      <c r="G18" s="27"/>
      <c r="H18" s="27"/>
      <c r="I18" s="27">
        <f>SUM(D18:H18)</f>
        <v>521.5</v>
      </c>
      <c r="J18" s="28"/>
      <c r="K18" s="23">
        <f>IF(I18=0,0,I18-328.2)</f>
        <v>193.3</v>
      </c>
      <c r="L18" s="29" t="s">
        <v>80</v>
      </c>
      <c r="M18" s="29"/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1828.5</v>
      </c>
      <c r="K19" s="34"/>
      <c r="L19" s="35"/>
      <c r="M19" s="35"/>
    </row>
    <row r="20" spans="2:13">
      <c r="B20" s="36" t="s">
        <v>84</v>
      </c>
      <c r="C20" s="20">
        <v>46216</v>
      </c>
      <c r="D20" s="26">
        <v>75.5</v>
      </c>
      <c r="E20" s="27">
        <v>195.5</v>
      </c>
      <c r="F20" s="27">
        <v>105.5</v>
      </c>
      <c r="G20" s="27">
        <v>25.5</v>
      </c>
      <c r="H20" s="27"/>
      <c r="I20" s="27">
        <f>SUM(D20:H20)</f>
        <v>402</v>
      </c>
      <c r="J20" s="28"/>
      <c r="K20" s="23">
        <f>IF(I20=0,0,I20-328.2)</f>
        <v>73.8</v>
      </c>
      <c r="L20" s="29" t="s">
        <v>80</v>
      </c>
      <c r="M20" s="29" t="s">
        <v>93</v>
      </c>
    </row>
    <row r="21" spans="2:13">
      <c r="B21" s="36"/>
      <c r="C21" s="20">
        <v>46217</v>
      </c>
      <c r="D21" s="26">
        <v>90.5</v>
      </c>
      <c r="E21" s="27">
        <v>185.5</v>
      </c>
      <c r="F21" s="27">
        <v>65.5</v>
      </c>
      <c r="G21" s="27">
        <v>15.5</v>
      </c>
      <c r="H21" s="27"/>
      <c r="I21" s="27">
        <f>SUM(D21:H21)</f>
        <v>357</v>
      </c>
      <c r="J21" s="28"/>
      <c r="K21" s="23">
        <f>IF(I21=0,0,I21-328.2)</f>
        <v>28.8</v>
      </c>
      <c r="L21" s="29" t="s">
        <v>81</v>
      </c>
      <c r="M21" s="29" t="s">
        <v>73</v>
      </c>
    </row>
    <row r="22" spans="2:13">
      <c r="B22" s="36"/>
      <c r="C22" s="20">
        <v>46218</v>
      </c>
      <c r="D22" s="26">
        <v>85.5</v>
      </c>
      <c r="E22" s="27">
        <v>235.5</v>
      </c>
      <c r="F22" s="27">
        <v>130.5</v>
      </c>
      <c r="G22" s="27"/>
      <c r="H22" s="27">
        <v>30.5</v>
      </c>
      <c r="I22" s="27">
        <f>SUM(D22:H22)</f>
        <v>482</v>
      </c>
      <c r="J22" s="28"/>
      <c r="K22" s="23">
        <f>IF(I22=0,0,I22-328.2)</f>
        <v>153.8</v>
      </c>
      <c r="L22" s="29" t="s">
        <v>80</v>
      </c>
      <c r="M22" s="29" t="s">
        <v>82</v>
      </c>
    </row>
    <row r="23" spans="2:13">
      <c r="B23" s="36"/>
      <c r="C23" s="20">
        <v>46219</v>
      </c>
      <c r="D23" s="26">
        <v>75.5</v>
      </c>
      <c r="E23" s="27">
        <v>150.5</v>
      </c>
      <c r="F23" s="27">
        <v>65.5</v>
      </c>
      <c r="G23" s="27"/>
      <c r="H23" s="27">
        <v>65.5</v>
      </c>
      <c r="I23" s="27">
        <f>SUM(D23:H23)</f>
        <v>357</v>
      </c>
      <c r="J23" s="28"/>
      <c r="K23" s="23">
        <f>IF(I23=0,0,I23-328.2)</f>
        <v>28.8</v>
      </c>
      <c r="L23" s="29" t="s">
        <v>81</v>
      </c>
      <c r="M23" s="29" t="s">
        <v>95</v>
      </c>
    </row>
    <row r="24" spans="2:13">
      <c r="B24" s="36"/>
      <c r="C24" s="20">
        <v>46220</v>
      </c>
      <c r="D24" s="26">
        <v>95.5</v>
      </c>
      <c r="E24" s="27">
        <v>230.5</v>
      </c>
      <c r="F24" s="27"/>
      <c r="G24" s="27">
        <v>25.5</v>
      </c>
      <c r="H24" s="27">
        <v>30.5</v>
      </c>
      <c r="I24" s="27">
        <f>SUM(D24:H24)</f>
        <v>382</v>
      </c>
      <c r="J24" s="28"/>
      <c r="K24" s="23">
        <f>IF(I24=0,0,I24-328.2)</f>
        <v>53.8</v>
      </c>
      <c r="L24" s="29" t="s">
        <v>72</v>
      </c>
      <c r="M24" s="29" t="s">
        <v>75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1980</v>
      </c>
      <c r="K25" s="34"/>
      <c r="L25" s="35"/>
      <c r="M25" s="35"/>
    </row>
    <row r="26" spans="2:13">
      <c r="B26" s="36" t="s">
        <v>88</v>
      </c>
      <c r="C26" s="20">
        <v>46223</v>
      </c>
      <c r="D26" s="26"/>
      <c r="E26" s="27"/>
      <c r="F26" s="27"/>
      <c r="G26" s="27"/>
      <c r="H26" s="27"/>
      <c r="I26" s="27">
        <f>SUM(D26:H26)</f>
        <v>0</v>
      </c>
      <c r="J26" s="28"/>
      <c r="K26" s="23">
        <f>IF(I26=0,0,I26-328.2)</f>
        <v>0</v>
      </c>
      <c r="L26" s="29"/>
      <c r="M26" s="29" t="s">
        <v>74</v>
      </c>
    </row>
    <row r="27" spans="2:13">
      <c r="B27" s="36"/>
      <c r="C27" s="20">
        <v>46224</v>
      </c>
      <c r="D27" s="26">
        <v>34.5</v>
      </c>
      <c r="E27" s="27">
        <v>80.5</v>
      </c>
      <c r="F27" s="27"/>
      <c r="G27" s="27"/>
      <c r="H27" s="27">
        <v>200.5</v>
      </c>
      <c r="I27" s="27">
        <f>SUM(D27:H27)</f>
        <v>315.5</v>
      </c>
      <c r="J27" s="28"/>
      <c r="K27" s="23">
        <f>IF(I27=0,0,I27-328.2)</f>
        <v>-12.7</v>
      </c>
      <c r="L27" s="29"/>
      <c r="M27" s="29"/>
    </row>
    <row r="28" spans="2:13">
      <c r="B28" s="36"/>
      <c r="C28" s="20">
        <v>46225</v>
      </c>
      <c r="D28" s="26">
        <v>80.5</v>
      </c>
      <c r="E28" s="27">
        <v>205.5</v>
      </c>
      <c r="F28" s="27">
        <v>80.5</v>
      </c>
      <c r="G28" s="27">
        <v>25.5</v>
      </c>
      <c r="H28" s="27"/>
      <c r="I28" s="27">
        <f>SUM(D28:H28)</f>
        <v>392</v>
      </c>
      <c r="J28" s="28"/>
      <c r="K28" s="23">
        <f>IF(I28=0,0,I28-328.2)</f>
        <v>63.8</v>
      </c>
      <c r="L28" s="29" t="s">
        <v>86</v>
      </c>
      <c r="M28" s="29" t="s">
        <v>95</v>
      </c>
    </row>
    <row r="29" spans="2:13">
      <c r="B29" s="36"/>
      <c r="C29" s="20">
        <v>46226</v>
      </c>
      <c r="D29" s="26">
        <v>45.5</v>
      </c>
      <c r="E29" s="27">
        <v>145.5</v>
      </c>
      <c r="F29" s="27">
        <v>75.5</v>
      </c>
      <c r="G29" s="27">
        <v>10.5</v>
      </c>
      <c r="H29" s="27">
        <v>30.5</v>
      </c>
      <c r="I29" s="27">
        <f>SUM(D29:H29)</f>
        <v>307.5</v>
      </c>
      <c r="J29" s="28"/>
      <c r="K29" s="23">
        <f>IF(I29=0,0,I29-328.2)</f>
        <v>-20.7</v>
      </c>
      <c r="L29" s="29" t="s">
        <v>80</v>
      </c>
      <c r="M29" s="29" t="s">
        <v>93</v>
      </c>
    </row>
    <row r="30" spans="2:13">
      <c r="B30" s="36"/>
      <c r="C30" s="20">
        <v>46227</v>
      </c>
      <c r="D30" s="26"/>
      <c r="E30" s="27">
        <v>160.5</v>
      </c>
      <c r="F30" s="27">
        <v>100.5</v>
      </c>
      <c r="G30" s="27"/>
      <c r="H30" s="27"/>
      <c r="I30" s="27">
        <f>SUM(D30:H30)</f>
        <v>261</v>
      </c>
      <c r="J30" s="28"/>
      <c r="K30" s="23">
        <f>IF(I30=0,0,I30-328.2)</f>
        <v>-67.2</v>
      </c>
      <c r="L30" s="29" t="s">
        <v>80</v>
      </c>
      <c r="M30" s="29" t="s">
        <v>93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1276</v>
      </c>
      <c r="K31" s="34"/>
      <c r="L31" s="35"/>
      <c r="M31" s="35"/>
    </row>
    <row r="32" spans="2:13">
      <c r="B32" s="36" t="s">
        <v>91</v>
      </c>
      <c r="C32" s="20">
        <v>46230</v>
      </c>
      <c r="D32" s="26">
        <v>55.5</v>
      </c>
      <c r="E32" s="27">
        <v>145.5</v>
      </c>
      <c r="F32" s="27"/>
      <c r="G32" s="27">
        <v>15.5</v>
      </c>
      <c r="H32" s="27">
        <v>100.5</v>
      </c>
      <c r="I32" s="27">
        <f>SUM(D32:H32)</f>
        <v>317</v>
      </c>
      <c r="J32" s="37"/>
      <c r="K32" s="23">
        <f>IF(I32=0,0,I32-328.2)</f>
        <v>-11.2</v>
      </c>
      <c r="L32" s="29" t="s">
        <v>71</v>
      </c>
      <c r="M32" s="29" t="s">
        <v>76</v>
      </c>
    </row>
    <row r="33" spans="2:13">
      <c r="B33" s="36"/>
      <c r="C33" s="20">
        <v>46231</v>
      </c>
      <c r="D33" s="26">
        <v>40.5</v>
      </c>
      <c r="E33" s="27"/>
      <c r="F33" s="27"/>
      <c r="G33" s="27"/>
      <c r="H33" s="27">
        <v>100.5</v>
      </c>
      <c r="I33" s="27">
        <f>SUM(D33:H33)</f>
        <v>141</v>
      </c>
      <c r="J33" s="28"/>
      <c r="K33" s="23">
        <f>IF(I33=0,0,I33-328.2)</f>
        <v>-187.2</v>
      </c>
      <c r="L33" s="29" t="s">
        <v>72</v>
      </c>
      <c r="M33" s="29" t="s">
        <v>96</v>
      </c>
    </row>
    <row r="34" spans="2:13">
      <c r="B34" s="36"/>
      <c r="C34" s="20">
        <v>46232</v>
      </c>
      <c r="D34" s="26">
        <v>50.5</v>
      </c>
      <c r="E34" s="27">
        <v>200.5</v>
      </c>
      <c r="F34" s="27">
        <v>85.5</v>
      </c>
      <c r="G34" s="27">
        <v>10.5</v>
      </c>
      <c r="H34" s="27"/>
      <c r="I34" s="27">
        <f>SUM(D34:H34)</f>
        <v>347</v>
      </c>
      <c r="J34" s="28"/>
      <c r="K34" s="23">
        <f>IF(I34=0,0,I34-328.2)</f>
        <v>18.8</v>
      </c>
      <c r="L34" s="29" t="s">
        <v>81</v>
      </c>
      <c r="M34" s="29" t="s">
        <v>82</v>
      </c>
    </row>
    <row r="35" spans="2:13">
      <c r="B35" s="36"/>
      <c r="C35" s="20">
        <v>46233</v>
      </c>
      <c r="D35" s="26">
        <v>70.5</v>
      </c>
      <c r="E35" s="27">
        <v>250.5</v>
      </c>
      <c r="F35" s="27">
        <v>100.5</v>
      </c>
      <c r="G35" s="27"/>
      <c r="H35" s="27"/>
      <c r="I35" s="27">
        <f>SUM(D35:H35)</f>
        <v>421.5</v>
      </c>
      <c r="J35" s="28"/>
      <c r="K35" s="23">
        <f>IF(I35=0,0,I35-328.2)</f>
        <v>93.3</v>
      </c>
      <c r="L35" s="29" t="s">
        <v>72</v>
      </c>
      <c r="M35" s="29" t="s">
        <v>101</v>
      </c>
    </row>
    <row r="36" spans="2:13">
      <c r="B36" s="36"/>
      <c r="C36" s="20">
        <v>46234</v>
      </c>
      <c r="D36" s="26">
        <v>120.5</v>
      </c>
      <c r="E36" s="27">
        <v>180.5</v>
      </c>
      <c r="F36" s="27">
        <v>155.5</v>
      </c>
      <c r="G36" s="27">
        <v>10.5</v>
      </c>
      <c r="H36" s="27">
        <v>30.5</v>
      </c>
      <c r="I36" s="27">
        <f>SUM(D36:H36)</f>
        <v>497.5</v>
      </c>
      <c r="J36" s="28"/>
      <c r="K36" s="23">
        <f>IF(I36=0,0,I36-328.2)</f>
        <v>169.3</v>
      </c>
      <c r="L36" s="29" t="s">
        <v>87</v>
      </c>
      <c r="M36" s="29"/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1724</v>
      </c>
      <c r="K37" s="34"/>
      <c r="L37" s="42"/>
      <c r="M37" s="43"/>
    </row>
    <row r="38" ht="27" customHeight="1" spans="2:13">
      <c r="B38" s="44" t="s">
        <v>113</v>
      </c>
      <c r="C38" s="44"/>
      <c r="D38" s="44"/>
      <c r="E38" s="44"/>
      <c r="F38" s="44"/>
      <c r="G38" s="44"/>
      <c r="H38" s="44"/>
      <c r="I38" s="44"/>
      <c r="J38" s="45">
        <f>SUM(J13:J37)</f>
        <v>7881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0.12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16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>
        <v>46237</v>
      </c>
      <c r="D8" s="21">
        <v>105.5</v>
      </c>
      <c r="E8" s="22">
        <v>190.5</v>
      </c>
      <c r="F8" s="22">
        <v>120.5</v>
      </c>
      <c r="G8" s="22"/>
      <c r="H8" s="22">
        <v>45.5</v>
      </c>
      <c r="I8" s="22">
        <f>SUM(D8:H8)</f>
        <v>462</v>
      </c>
      <c r="J8" s="23"/>
      <c r="K8" s="23">
        <f>IF(I8=0,0,I8-328.2)</f>
        <v>133.8</v>
      </c>
      <c r="L8" s="24" t="s">
        <v>71</v>
      </c>
      <c r="M8" s="25"/>
    </row>
    <row r="9" spans="2:13">
      <c r="B9" s="19"/>
      <c r="C9" s="20">
        <v>46238</v>
      </c>
      <c r="D9" s="26">
        <v>50.5</v>
      </c>
      <c r="E9" s="27">
        <v>60.5</v>
      </c>
      <c r="F9" s="27"/>
      <c r="G9" s="27"/>
      <c r="H9" s="27">
        <v>90.5</v>
      </c>
      <c r="I9" s="27">
        <f>SUM(D9:H9)</f>
        <v>201.5</v>
      </c>
      <c r="J9" s="28"/>
      <c r="K9" s="23">
        <f>IF(I9=0,0,I9-328.2)</f>
        <v>-126.7</v>
      </c>
      <c r="L9" s="29"/>
      <c r="M9" s="29" t="s">
        <v>75</v>
      </c>
    </row>
    <row r="10" spans="2:13">
      <c r="B10" s="19"/>
      <c r="C10" s="20">
        <v>46239</v>
      </c>
      <c r="D10" s="26">
        <v>55.5</v>
      </c>
      <c r="E10" s="27">
        <v>215.5</v>
      </c>
      <c r="F10" s="27">
        <v>60.5</v>
      </c>
      <c r="G10" s="27">
        <v>25.5</v>
      </c>
      <c r="H10" s="27"/>
      <c r="I10" s="27">
        <f>SUM(D10:H10)</f>
        <v>357</v>
      </c>
      <c r="J10" s="28"/>
      <c r="K10" s="23">
        <f>IF(I10=0,0,I10-328.2)</f>
        <v>28.8</v>
      </c>
      <c r="L10" s="29" t="s">
        <v>87</v>
      </c>
      <c r="M10" s="29"/>
    </row>
    <row r="11" spans="2:13">
      <c r="B11" s="19"/>
      <c r="C11" s="20">
        <v>46240</v>
      </c>
      <c r="D11" s="26">
        <v>65.5</v>
      </c>
      <c r="E11" s="27"/>
      <c r="F11" s="27">
        <v>115.5</v>
      </c>
      <c r="G11" s="27">
        <v>15.5</v>
      </c>
      <c r="H11" s="27">
        <v>80.5</v>
      </c>
      <c r="I11" s="27">
        <f>SUM(D11:H11)</f>
        <v>277</v>
      </c>
      <c r="J11" s="28"/>
      <c r="K11" s="23">
        <f>IF(I11=0,0,I11-328.2)</f>
        <v>-51.2</v>
      </c>
      <c r="L11" s="29" t="s">
        <v>83</v>
      </c>
      <c r="M11" s="29" t="s">
        <v>75</v>
      </c>
    </row>
    <row r="12" spans="2:13">
      <c r="B12" s="19"/>
      <c r="C12" s="20">
        <v>46241</v>
      </c>
      <c r="D12" s="26">
        <v>95.5</v>
      </c>
      <c r="E12" s="27">
        <v>190.5</v>
      </c>
      <c r="F12" s="27">
        <v>155.5</v>
      </c>
      <c r="G12" s="27">
        <v>10.5</v>
      </c>
      <c r="H12" s="27">
        <v>50.5</v>
      </c>
      <c r="I12" s="27">
        <f>SUM(D12:H12)</f>
        <v>502.5</v>
      </c>
      <c r="J12" s="28"/>
      <c r="K12" s="23">
        <f>IF(I12=0,0,I12-328.2)</f>
        <v>174.3</v>
      </c>
      <c r="L12" s="29" t="s">
        <v>83</v>
      </c>
      <c r="M12" s="29" t="s">
        <v>95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1800</v>
      </c>
      <c r="K13" s="34"/>
      <c r="L13" s="35"/>
      <c r="M13" s="35"/>
    </row>
    <row r="14" spans="2:13">
      <c r="B14" s="36" t="s">
        <v>78</v>
      </c>
      <c r="C14" s="20">
        <v>46244</v>
      </c>
      <c r="D14" s="26">
        <v>90.5</v>
      </c>
      <c r="E14" s="27"/>
      <c r="F14" s="27"/>
      <c r="G14" s="27"/>
      <c r="H14" s="27">
        <v>56.5</v>
      </c>
      <c r="I14" s="27">
        <f>SUM(D14:H14)</f>
        <v>147</v>
      </c>
      <c r="J14" s="28"/>
      <c r="K14" s="23">
        <f>IF(I14=0,0,I14-328.2)</f>
        <v>-181.2</v>
      </c>
      <c r="L14" s="29"/>
      <c r="M14" s="29"/>
    </row>
    <row r="15" spans="2:13">
      <c r="B15" s="36"/>
      <c r="C15" s="20">
        <v>46245</v>
      </c>
      <c r="D15" s="26">
        <v>100.5</v>
      </c>
      <c r="E15" s="27">
        <v>250.5</v>
      </c>
      <c r="F15" s="27">
        <v>125.5</v>
      </c>
      <c r="G15" s="27">
        <v>10.5</v>
      </c>
      <c r="H15" s="27"/>
      <c r="I15" s="27">
        <f>SUM(D15:H15)</f>
        <v>487</v>
      </c>
      <c r="J15" s="28"/>
      <c r="K15" s="23">
        <f>IF(I15=0,0,I15-328.2)</f>
        <v>158.8</v>
      </c>
      <c r="L15" s="29" t="s">
        <v>87</v>
      </c>
      <c r="M15" s="29" t="s">
        <v>76</v>
      </c>
    </row>
    <row r="16" spans="2:13">
      <c r="B16" s="36"/>
      <c r="C16" s="20">
        <v>46246</v>
      </c>
      <c r="D16" s="26">
        <v>70.5</v>
      </c>
      <c r="E16" s="27">
        <v>225.5</v>
      </c>
      <c r="F16" s="27">
        <v>90.5</v>
      </c>
      <c r="G16" s="27"/>
      <c r="H16" s="27"/>
      <c r="I16" s="27">
        <f>SUM(D16:H16)</f>
        <v>386.5</v>
      </c>
      <c r="J16" s="28"/>
      <c r="K16" s="23">
        <f>IF(I16=0,0,I16-328.2)</f>
        <v>58.3</v>
      </c>
      <c r="L16" s="29" t="s">
        <v>86</v>
      </c>
      <c r="M16" s="29" t="s">
        <v>93</v>
      </c>
    </row>
    <row r="17" spans="2:13">
      <c r="B17" s="36"/>
      <c r="C17" s="20">
        <v>46247</v>
      </c>
      <c r="D17" s="26">
        <v>75.5</v>
      </c>
      <c r="E17" s="27">
        <v>125.5</v>
      </c>
      <c r="F17" s="27">
        <v>110.5</v>
      </c>
      <c r="G17" s="27"/>
      <c r="H17" s="27">
        <v>80.5</v>
      </c>
      <c r="I17" s="27">
        <f>SUM(D17:H17)</f>
        <v>392</v>
      </c>
      <c r="J17" s="28"/>
      <c r="K17" s="23">
        <f>IF(I17=0,0,I17-328.2)</f>
        <v>63.8</v>
      </c>
      <c r="L17" s="29" t="s">
        <v>83</v>
      </c>
      <c r="M17" s="29" t="s">
        <v>93</v>
      </c>
    </row>
    <row r="18" spans="2:13">
      <c r="B18" s="36"/>
      <c r="C18" s="20">
        <v>46248</v>
      </c>
      <c r="D18" s="26">
        <v>65.5</v>
      </c>
      <c r="E18" s="27"/>
      <c r="F18" s="27">
        <v>120.5</v>
      </c>
      <c r="G18" s="27"/>
      <c r="H18" s="27"/>
      <c r="I18" s="27">
        <f>SUM(D18:H18)</f>
        <v>186</v>
      </c>
      <c r="J18" s="28"/>
      <c r="K18" s="23">
        <f>IF(I18=0,0,I18-328.2)</f>
        <v>-142.2</v>
      </c>
      <c r="L18" s="29" t="s">
        <v>86</v>
      </c>
      <c r="M18" s="29" t="s">
        <v>101</v>
      </c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1598.5</v>
      </c>
      <c r="K19" s="34"/>
      <c r="L19" s="35"/>
      <c r="M19" s="35"/>
    </row>
    <row r="20" spans="2:13">
      <c r="B20" s="36" t="s">
        <v>84</v>
      </c>
      <c r="C20" s="20">
        <v>46251</v>
      </c>
      <c r="D20" s="26">
        <v>95.5</v>
      </c>
      <c r="E20" s="27">
        <v>130.5</v>
      </c>
      <c r="F20" s="27">
        <v>95.5</v>
      </c>
      <c r="G20" s="27"/>
      <c r="H20" s="27">
        <v>65.5</v>
      </c>
      <c r="I20" s="27">
        <f>SUM(D20:H20)</f>
        <v>387</v>
      </c>
      <c r="J20" s="28"/>
      <c r="K20" s="23">
        <f>IF(I20=0,0,I20-328.2)</f>
        <v>58.8</v>
      </c>
      <c r="L20" s="29" t="s">
        <v>87</v>
      </c>
      <c r="M20" s="29" t="s">
        <v>95</v>
      </c>
    </row>
    <row r="21" spans="2:13">
      <c r="B21" s="36"/>
      <c r="C21" s="20">
        <v>46252</v>
      </c>
      <c r="D21" s="26"/>
      <c r="E21" s="27">
        <v>185.5</v>
      </c>
      <c r="F21" s="27">
        <v>90.5</v>
      </c>
      <c r="G21" s="27">
        <v>25.5</v>
      </c>
      <c r="H21" s="27">
        <v>30.5</v>
      </c>
      <c r="I21" s="27">
        <f>SUM(D21:H21)</f>
        <v>332</v>
      </c>
      <c r="J21" s="28"/>
      <c r="K21" s="23">
        <f>IF(I21=0,0,I21-328.2)</f>
        <v>3.80000000000001</v>
      </c>
      <c r="L21" s="29" t="s">
        <v>86</v>
      </c>
      <c r="M21" s="29" t="s">
        <v>96</v>
      </c>
    </row>
    <row r="22" spans="2:13">
      <c r="B22" s="36"/>
      <c r="C22" s="20">
        <v>46253</v>
      </c>
      <c r="D22" s="26">
        <v>60.5</v>
      </c>
      <c r="E22" s="27"/>
      <c r="F22" s="27">
        <v>110.5</v>
      </c>
      <c r="G22" s="27">
        <v>15.5</v>
      </c>
      <c r="H22" s="27">
        <v>65.5</v>
      </c>
      <c r="I22" s="27">
        <f>SUM(D22:H22)</f>
        <v>252</v>
      </c>
      <c r="J22" s="28"/>
      <c r="K22" s="23">
        <f>IF(I22=0,0,I22-328.2)</f>
        <v>-76.2</v>
      </c>
      <c r="L22" s="29" t="s">
        <v>72</v>
      </c>
      <c r="M22" s="29" t="s">
        <v>95</v>
      </c>
    </row>
    <row r="23" spans="2:13">
      <c r="B23" s="36"/>
      <c r="C23" s="20">
        <v>46254</v>
      </c>
      <c r="D23" s="26">
        <v>50.5</v>
      </c>
      <c r="E23" s="27"/>
      <c r="F23" s="27">
        <v>60.5</v>
      </c>
      <c r="G23" s="27">
        <v>25.5</v>
      </c>
      <c r="H23" s="27"/>
      <c r="I23" s="27">
        <f>SUM(D23:H23)</f>
        <v>136.5</v>
      </c>
      <c r="J23" s="28"/>
      <c r="K23" s="23">
        <f>IF(I23=0,0,I23-328.2)</f>
        <v>-191.7</v>
      </c>
      <c r="L23" s="29" t="s">
        <v>83</v>
      </c>
      <c r="M23" s="29"/>
    </row>
    <row r="24" spans="2:13">
      <c r="B24" s="36"/>
      <c r="C24" s="20">
        <v>46255</v>
      </c>
      <c r="D24" s="26">
        <v>90.5</v>
      </c>
      <c r="E24" s="27">
        <v>67.5</v>
      </c>
      <c r="F24" s="27"/>
      <c r="G24" s="27"/>
      <c r="H24" s="27">
        <v>45.5</v>
      </c>
      <c r="I24" s="27">
        <f>SUM(D24:H24)</f>
        <v>203.5</v>
      </c>
      <c r="J24" s="28"/>
      <c r="K24" s="23">
        <f>IF(I24=0,0,I24-328.2)</f>
        <v>-124.7</v>
      </c>
      <c r="L24" s="29"/>
      <c r="M24" s="29" t="s">
        <v>75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1311</v>
      </c>
      <c r="K25" s="34"/>
      <c r="L25" s="35"/>
      <c r="M25" s="35"/>
    </row>
    <row r="26" spans="2:13">
      <c r="B26" s="36" t="s">
        <v>88</v>
      </c>
      <c r="C26" s="20">
        <v>46258</v>
      </c>
      <c r="D26" s="26">
        <v>55.5</v>
      </c>
      <c r="E26" s="27">
        <v>135.5</v>
      </c>
      <c r="F26" s="27">
        <v>65.5</v>
      </c>
      <c r="G26" s="27">
        <v>25.5</v>
      </c>
      <c r="H26" s="27">
        <v>65.5</v>
      </c>
      <c r="I26" s="27">
        <f>SUM(D26:H26)</f>
        <v>347.5</v>
      </c>
      <c r="J26" s="28"/>
      <c r="K26" s="23">
        <f>IF(I26=0,0,I26-328.2)</f>
        <v>19.3</v>
      </c>
      <c r="L26" s="29" t="s">
        <v>71</v>
      </c>
      <c r="M26" s="29" t="s">
        <v>76</v>
      </c>
    </row>
    <row r="27" spans="2:13">
      <c r="B27" s="36"/>
      <c r="C27" s="20">
        <v>46259</v>
      </c>
      <c r="D27" s="26"/>
      <c r="E27" s="27">
        <v>160.5</v>
      </c>
      <c r="F27" s="27">
        <v>70.5</v>
      </c>
      <c r="G27" s="27">
        <v>20.5</v>
      </c>
      <c r="H27" s="27"/>
      <c r="I27" s="27">
        <f>SUM(D27:H27)</f>
        <v>251.5</v>
      </c>
      <c r="J27" s="28"/>
      <c r="K27" s="23">
        <f>IF(I27=0,0,I27-328.2)</f>
        <v>-76.7</v>
      </c>
      <c r="L27" s="29" t="s">
        <v>72</v>
      </c>
      <c r="M27" s="29" t="s">
        <v>75</v>
      </c>
    </row>
    <row r="28" spans="2:13">
      <c r="B28" s="36"/>
      <c r="C28" s="20">
        <v>46260</v>
      </c>
      <c r="D28" s="26">
        <v>80.5</v>
      </c>
      <c r="E28" s="27">
        <v>170.5</v>
      </c>
      <c r="F28" s="27">
        <v>115.5</v>
      </c>
      <c r="G28" s="27"/>
      <c r="H28" s="27"/>
      <c r="I28" s="27">
        <f>SUM(D28:H28)</f>
        <v>366.5</v>
      </c>
      <c r="J28" s="28"/>
      <c r="K28" s="23">
        <f>IF(I28=0,0,I28-328.2)</f>
        <v>38.3</v>
      </c>
      <c r="L28" s="29" t="s">
        <v>83</v>
      </c>
      <c r="M28" s="29"/>
    </row>
    <row r="29" spans="2:13">
      <c r="B29" s="36"/>
      <c r="C29" s="20">
        <v>46261</v>
      </c>
      <c r="D29" s="26">
        <v>70.5</v>
      </c>
      <c r="E29" s="27">
        <v>90.5</v>
      </c>
      <c r="F29" s="27"/>
      <c r="G29" s="27"/>
      <c r="H29" s="27">
        <v>80.5</v>
      </c>
      <c r="I29" s="27">
        <f>SUM(D29:H29)</f>
        <v>241.5</v>
      </c>
      <c r="J29" s="28"/>
      <c r="K29" s="23">
        <f>IF(I29=0,0,I29-328.2)</f>
        <v>-86.7</v>
      </c>
      <c r="L29" s="29"/>
      <c r="M29" s="29" t="s">
        <v>75</v>
      </c>
    </row>
    <row r="30" spans="2:13">
      <c r="B30" s="36"/>
      <c r="C30" s="20">
        <v>46262</v>
      </c>
      <c r="D30" s="26">
        <v>65.5</v>
      </c>
      <c r="E30" s="27"/>
      <c r="F30" s="27">
        <v>140.5</v>
      </c>
      <c r="G30" s="27"/>
      <c r="H30" s="27">
        <v>78.5</v>
      </c>
      <c r="I30" s="27">
        <f>SUM(D30:H30)</f>
        <v>284.5</v>
      </c>
      <c r="J30" s="28"/>
      <c r="K30" s="23">
        <f>IF(I30=0,0,I30-328.2)</f>
        <v>-43.7</v>
      </c>
      <c r="L30" s="29" t="s">
        <v>80</v>
      </c>
      <c r="M30" s="29" t="s">
        <v>75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1491.5</v>
      </c>
      <c r="K31" s="34"/>
      <c r="L31" s="35"/>
      <c r="M31" s="35"/>
    </row>
    <row r="32" spans="2:13">
      <c r="B32" s="36" t="s">
        <v>91</v>
      </c>
      <c r="C32" s="20">
        <v>46265</v>
      </c>
      <c r="D32" s="26">
        <v>90.5</v>
      </c>
      <c r="E32" s="27">
        <v>250.5</v>
      </c>
      <c r="F32" s="27">
        <v>95.5</v>
      </c>
      <c r="G32" s="27"/>
      <c r="H32" s="27">
        <v>80.5</v>
      </c>
      <c r="I32" s="27">
        <f>SUM(D32:H32)</f>
        <v>517</v>
      </c>
      <c r="J32" s="37"/>
      <c r="K32" s="23">
        <f>IF(I32=0,0,I32-328.2)</f>
        <v>188.8</v>
      </c>
      <c r="L32" s="29" t="s">
        <v>81</v>
      </c>
      <c r="M32" s="29" t="s">
        <v>82</v>
      </c>
    </row>
    <row r="33" spans="2:13">
      <c r="B33" s="36"/>
      <c r="C33" s="20"/>
      <c r="D33" s="26"/>
      <c r="E33" s="27"/>
      <c r="F33" s="27"/>
      <c r="G33" s="27"/>
      <c r="H33" s="27"/>
      <c r="I33" s="27">
        <f>SUM(D33:H33)</f>
        <v>0</v>
      </c>
      <c r="J33" s="28"/>
      <c r="K33" s="23">
        <f>IF(I33=0,0,I33-328.2)</f>
        <v>0</v>
      </c>
      <c r="L33" s="29"/>
      <c r="M33" s="29"/>
    </row>
    <row r="34" spans="2:13">
      <c r="B34" s="36"/>
      <c r="C34" s="20"/>
      <c r="D34" s="26"/>
      <c r="E34" s="27"/>
      <c r="F34" s="27"/>
      <c r="G34" s="27"/>
      <c r="H34" s="27"/>
      <c r="I34" s="27">
        <f>SUM(D34:H34)</f>
        <v>0</v>
      </c>
      <c r="J34" s="28"/>
      <c r="K34" s="23">
        <f>IF(I34=0,0,I34-328.2)</f>
        <v>0</v>
      </c>
      <c r="L34" s="29"/>
      <c r="M34" s="29"/>
    </row>
    <row r="35" spans="2:13">
      <c r="B35" s="36"/>
      <c r="C35" s="20"/>
      <c r="D35" s="26"/>
      <c r="E35" s="27"/>
      <c r="F35" s="27"/>
      <c r="G35" s="27"/>
      <c r="H35" s="27"/>
      <c r="I35" s="27">
        <f>SUM(D35:H35)</f>
        <v>0</v>
      </c>
      <c r="J35" s="28"/>
      <c r="K35" s="23">
        <f>IF(I35=0,0,I35-328.2)</f>
        <v>0</v>
      </c>
      <c r="L35" s="29"/>
      <c r="M35" s="29"/>
    </row>
    <row r="36" spans="2:13">
      <c r="B36" s="36"/>
      <c r="C36" s="20"/>
      <c r="D36" s="26"/>
      <c r="E36" s="27"/>
      <c r="F36" s="27"/>
      <c r="G36" s="27"/>
      <c r="H36" s="27"/>
      <c r="I36" s="27">
        <f>SUM(D36:H36)</f>
        <v>0</v>
      </c>
      <c r="J36" s="28"/>
      <c r="K36" s="23">
        <f>IF(I36=0,0,I36-328.2)</f>
        <v>0</v>
      </c>
      <c r="L36" s="29"/>
      <c r="M36" s="29"/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517</v>
      </c>
      <c r="K37" s="34"/>
      <c r="L37" s="42"/>
      <c r="M37" s="43"/>
    </row>
    <row r="38" ht="27" customHeight="1" spans="2:13">
      <c r="B38" s="44" t="s">
        <v>114</v>
      </c>
      <c r="C38" s="44"/>
      <c r="D38" s="44"/>
      <c r="E38" s="44"/>
      <c r="F38" s="44"/>
      <c r="G38" s="44"/>
      <c r="H38" s="44"/>
      <c r="I38" s="44"/>
      <c r="J38" s="45">
        <f>SUM(J13:J37)</f>
        <v>6718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0.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17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/>
      <c r="D8" s="21"/>
      <c r="E8" s="22"/>
      <c r="F8" s="22"/>
      <c r="G8" s="22"/>
      <c r="H8" s="22"/>
      <c r="I8" s="22">
        <f>SUM(D8:H8)</f>
        <v>0</v>
      </c>
      <c r="J8" s="23"/>
      <c r="K8" s="23">
        <f>IF(I8=0,0,I8-328.2)</f>
        <v>0</v>
      </c>
      <c r="L8" s="24"/>
      <c r="M8" s="25"/>
    </row>
    <row r="9" spans="2:13">
      <c r="B9" s="19"/>
      <c r="C9" s="20">
        <v>46266</v>
      </c>
      <c r="D9" s="26">
        <v>80.5</v>
      </c>
      <c r="E9" s="27">
        <v>230.5</v>
      </c>
      <c r="F9" s="27">
        <v>80.5</v>
      </c>
      <c r="G9" s="27"/>
      <c r="H9" s="27">
        <v>80.5</v>
      </c>
      <c r="I9" s="27">
        <f>SUM(D9:H9)</f>
        <v>472</v>
      </c>
      <c r="J9" s="28"/>
      <c r="K9" s="23">
        <f>IF(I9=0,0,I9-328.2)</f>
        <v>143.8</v>
      </c>
      <c r="L9" s="29" t="s">
        <v>71</v>
      </c>
      <c r="M9" s="29" t="s">
        <v>76</v>
      </c>
    </row>
    <row r="10" spans="2:13">
      <c r="B10" s="19"/>
      <c r="C10" s="20">
        <v>46267</v>
      </c>
      <c r="D10" s="26">
        <v>55.5</v>
      </c>
      <c r="E10" s="27">
        <v>215.5</v>
      </c>
      <c r="F10" s="27">
        <v>100.5</v>
      </c>
      <c r="G10" s="27"/>
      <c r="H10" s="27">
        <v>60.5</v>
      </c>
      <c r="I10" s="27">
        <f>SUM(D10:H10)</f>
        <v>432</v>
      </c>
      <c r="J10" s="28"/>
      <c r="K10" s="23">
        <f>IF(I10=0,0,I10-328.2)</f>
        <v>103.8</v>
      </c>
      <c r="L10" s="29" t="s">
        <v>71</v>
      </c>
      <c r="M10" s="29" t="s">
        <v>73</v>
      </c>
    </row>
    <row r="11" spans="2:13">
      <c r="B11" s="19"/>
      <c r="C11" s="20">
        <v>46268</v>
      </c>
      <c r="D11" s="26"/>
      <c r="E11" s="27"/>
      <c r="F11" s="27"/>
      <c r="G11" s="27"/>
      <c r="H11" s="27"/>
      <c r="I11" s="27">
        <f>SUM(D11:H11)</f>
        <v>0</v>
      </c>
      <c r="J11" s="28"/>
      <c r="K11" s="23">
        <f>IF(I11=0,0,I11-328.2)</f>
        <v>0</v>
      </c>
      <c r="L11" s="29"/>
      <c r="M11" s="29" t="s">
        <v>74</v>
      </c>
    </row>
    <row r="12" spans="2:13">
      <c r="B12" s="19"/>
      <c r="C12" s="20">
        <v>46269</v>
      </c>
      <c r="D12" s="26"/>
      <c r="E12" s="27">
        <v>190.5</v>
      </c>
      <c r="F12" s="27">
        <v>80.5</v>
      </c>
      <c r="G12" s="27"/>
      <c r="H12" s="27">
        <v>60.5</v>
      </c>
      <c r="I12" s="27">
        <f>SUM(D12:H12)</f>
        <v>331.5</v>
      </c>
      <c r="J12" s="28"/>
      <c r="K12" s="23">
        <f>IF(I12=0,0,I12-328.2)</f>
        <v>3.30000000000001</v>
      </c>
      <c r="L12" s="29" t="s">
        <v>72</v>
      </c>
      <c r="M12" s="29" t="s">
        <v>76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1235.5</v>
      </c>
      <c r="K13" s="34"/>
      <c r="L13" s="35"/>
      <c r="M13" s="35"/>
    </row>
    <row r="14" spans="2:13">
      <c r="B14" s="36" t="s">
        <v>78</v>
      </c>
      <c r="C14" s="20">
        <v>46272</v>
      </c>
      <c r="D14" s="26">
        <v>95.5</v>
      </c>
      <c r="E14" s="27">
        <v>170.5</v>
      </c>
      <c r="F14" s="27">
        <v>80.5</v>
      </c>
      <c r="G14" s="27"/>
      <c r="H14" s="27"/>
      <c r="I14" s="27">
        <f>SUM(D14:H14)</f>
        <v>346.5</v>
      </c>
      <c r="J14" s="28"/>
      <c r="K14" s="23">
        <f>IF(I14=0,0,I14-328.2)</f>
        <v>18.3</v>
      </c>
      <c r="L14" s="29" t="s">
        <v>87</v>
      </c>
      <c r="M14" s="29" t="s">
        <v>90</v>
      </c>
    </row>
    <row r="15" spans="2:13">
      <c r="B15" s="36"/>
      <c r="C15" s="20">
        <v>46273</v>
      </c>
      <c r="D15" s="26">
        <v>100.5</v>
      </c>
      <c r="E15" s="27">
        <v>180.5</v>
      </c>
      <c r="F15" s="27">
        <v>95.5</v>
      </c>
      <c r="G15" s="27"/>
      <c r="H15" s="27">
        <v>50.5</v>
      </c>
      <c r="I15" s="27">
        <f>SUM(D15:H15)</f>
        <v>427</v>
      </c>
      <c r="J15" s="28"/>
      <c r="K15" s="23">
        <f>IF(I15=0,0,I15-328.2)</f>
        <v>98.8</v>
      </c>
      <c r="L15" s="29" t="s">
        <v>80</v>
      </c>
      <c r="M15" s="29" t="s">
        <v>101</v>
      </c>
    </row>
    <row r="16" spans="2:13">
      <c r="B16" s="36"/>
      <c r="C16" s="20">
        <v>46274</v>
      </c>
      <c r="D16" s="26">
        <v>110.5</v>
      </c>
      <c r="E16" s="27">
        <v>210.5</v>
      </c>
      <c r="F16" s="27">
        <v>70.5</v>
      </c>
      <c r="G16" s="27"/>
      <c r="H16" s="27">
        <v>60.5</v>
      </c>
      <c r="I16" s="27">
        <f>SUM(D16:H16)</f>
        <v>452</v>
      </c>
      <c r="J16" s="28"/>
      <c r="K16" s="23">
        <f>IF(I16=0,0,I16-328.2)</f>
        <v>123.8</v>
      </c>
      <c r="L16" s="29" t="s">
        <v>71</v>
      </c>
      <c r="M16" s="29" t="s">
        <v>90</v>
      </c>
    </row>
    <row r="17" spans="2:13">
      <c r="B17" s="36"/>
      <c r="C17" s="20">
        <v>46275</v>
      </c>
      <c r="D17" s="26">
        <v>80.5</v>
      </c>
      <c r="E17" s="27">
        <v>125.5</v>
      </c>
      <c r="F17" s="27">
        <v>95.5</v>
      </c>
      <c r="G17" s="27">
        <v>25.5</v>
      </c>
      <c r="H17" s="27">
        <v>45.5</v>
      </c>
      <c r="I17" s="27">
        <f>SUM(D17:H17)</f>
        <v>372.5</v>
      </c>
      <c r="J17" s="28"/>
      <c r="K17" s="23">
        <f>IF(I17=0,0,I17-328.2)</f>
        <v>44.3</v>
      </c>
      <c r="L17" s="29" t="s">
        <v>71</v>
      </c>
      <c r="M17" s="29"/>
    </row>
    <row r="18" spans="2:13">
      <c r="B18" s="36"/>
      <c r="C18" s="20">
        <v>46276</v>
      </c>
      <c r="D18" s="26">
        <v>89.5</v>
      </c>
      <c r="E18" s="27">
        <v>90.5</v>
      </c>
      <c r="F18" s="27"/>
      <c r="G18" s="27"/>
      <c r="H18" s="27">
        <v>45.5</v>
      </c>
      <c r="I18" s="27">
        <f>SUM(D18:H18)</f>
        <v>225.5</v>
      </c>
      <c r="J18" s="28"/>
      <c r="K18" s="23">
        <f>IF(I18=0,0,I18-328.2)</f>
        <v>-102.7</v>
      </c>
      <c r="L18" s="29"/>
      <c r="M18" s="29" t="s">
        <v>75</v>
      </c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1823.5</v>
      </c>
      <c r="K19" s="34"/>
      <c r="L19" s="35"/>
      <c r="M19" s="35"/>
    </row>
    <row r="20" spans="2:13">
      <c r="B20" s="36" t="s">
        <v>84</v>
      </c>
      <c r="C20" s="20">
        <v>46279</v>
      </c>
      <c r="D20" s="26">
        <v>65.5</v>
      </c>
      <c r="E20" s="27">
        <v>150.5</v>
      </c>
      <c r="F20" s="27">
        <v>75.5</v>
      </c>
      <c r="G20" s="27">
        <v>10.5</v>
      </c>
      <c r="H20" s="27">
        <v>80.5</v>
      </c>
      <c r="I20" s="27">
        <f>SUM(D20:H20)</f>
        <v>382.5</v>
      </c>
      <c r="J20" s="28"/>
      <c r="K20" s="23">
        <f>IF(I20=0,0,I20-328.2)</f>
        <v>54.3</v>
      </c>
      <c r="L20" s="29" t="s">
        <v>87</v>
      </c>
      <c r="M20" s="29" t="s">
        <v>73</v>
      </c>
    </row>
    <row r="21" spans="2:13">
      <c r="B21" s="36"/>
      <c r="C21" s="20">
        <v>46280</v>
      </c>
      <c r="D21" s="26"/>
      <c r="E21" s="27">
        <v>190.5</v>
      </c>
      <c r="F21" s="27">
        <v>80.5</v>
      </c>
      <c r="G21" s="27"/>
      <c r="H21" s="27">
        <v>80.5</v>
      </c>
      <c r="I21" s="27">
        <f>SUM(D21:H21)</f>
        <v>351.5</v>
      </c>
      <c r="J21" s="28"/>
      <c r="K21" s="23">
        <f>IF(I21=0,0,I21-328.2)</f>
        <v>23.3</v>
      </c>
      <c r="L21" s="29" t="s">
        <v>86</v>
      </c>
      <c r="M21" s="29" t="s">
        <v>95</v>
      </c>
    </row>
    <row r="22" spans="2:13">
      <c r="B22" s="36"/>
      <c r="C22" s="20">
        <v>46281</v>
      </c>
      <c r="D22" s="26">
        <v>60.5</v>
      </c>
      <c r="E22" s="27">
        <v>200.5</v>
      </c>
      <c r="F22" s="27">
        <v>75.5</v>
      </c>
      <c r="G22" s="27">
        <v>20.5</v>
      </c>
      <c r="H22" s="27">
        <v>65.5</v>
      </c>
      <c r="I22" s="27">
        <f>SUM(D22:H22)</f>
        <v>422.5</v>
      </c>
      <c r="J22" s="28"/>
      <c r="K22" s="23">
        <f>IF(I22=0,0,I22-328.2)</f>
        <v>94.3</v>
      </c>
      <c r="L22" s="29" t="s">
        <v>80</v>
      </c>
      <c r="M22" s="29"/>
    </row>
    <row r="23" spans="2:13">
      <c r="B23" s="36"/>
      <c r="C23" s="20">
        <v>46282</v>
      </c>
      <c r="D23" s="26">
        <v>50.5</v>
      </c>
      <c r="E23" s="27">
        <v>175.5</v>
      </c>
      <c r="F23" s="27"/>
      <c r="G23" s="27">
        <v>20.5</v>
      </c>
      <c r="H23" s="27"/>
      <c r="I23" s="27">
        <f>SUM(D23:H23)</f>
        <v>246.5</v>
      </c>
      <c r="J23" s="28"/>
      <c r="K23" s="23">
        <f>IF(I23=0,0,I23-328.2)</f>
        <v>-81.7</v>
      </c>
      <c r="L23" s="29" t="s">
        <v>79</v>
      </c>
      <c r="M23" s="29" t="s">
        <v>96</v>
      </c>
    </row>
    <row r="24" spans="2:13">
      <c r="B24" s="36"/>
      <c r="C24" s="20">
        <v>46283</v>
      </c>
      <c r="D24" s="26">
        <v>60.5</v>
      </c>
      <c r="E24" s="27">
        <v>65.5</v>
      </c>
      <c r="F24" s="27"/>
      <c r="G24" s="27"/>
      <c r="H24" s="27">
        <v>120.5</v>
      </c>
      <c r="I24" s="27">
        <f>SUM(D24:H24)</f>
        <v>246.5</v>
      </c>
      <c r="J24" s="28"/>
      <c r="K24" s="23">
        <f>IF(I24=0,0,I24-328.2)</f>
        <v>-81.7</v>
      </c>
      <c r="L24" s="29"/>
      <c r="M24" s="29"/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1649.5</v>
      </c>
      <c r="K25" s="34"/>
      <c r="L25" s="35"/>
      <c r="M25" s="35"/>
    </row>
    <row r="26" spans="2:13">
      <c r="B26" s="36" t="s">
        <v>88</v>
      </c>
      <c r="C26" s="20">
        <v>46286</v>
      </c>
      <c r="D26" s="26">
        <v>40.5</v>
      </c>
      <c r="E26" s="27"/>
      <c r="F26" s="27">
        <v>75.5</v>
      </c>
      <c r="G26" s="27">
        <v>20.5</v>
      </c>
      <c r="H26" s="27"/>
      <c r="I26" s="27">
        <f>SUM(D26:H26)</f>
        <v>136.5</v>
      </c>
      <c r="J26" s="28"/>
      <c r="K26" s="23">
        <f>IF(I26=0,0,I26-328.2)</f>
        <v>-191.7</v>
      </c>
      <c r="L26" s="29" t="s">
        <v>83</v>
      </c>
      <c r="M26" s="29" t="s">
        <v>75</v>
      </c>
    </row>
    <row r="27" spans="2:13">
      <c r="B27" s="36"/>
      <c r="C27" s="20">
        <v>46287</v>
      </c>
      <c r="D27" s="26">
        <v>60.5</v>
      </c>
      <c r="E27" s="27">
        <v>170.5</v>
      </c>
      <c r="F27" s="27">
        <v>70.5</v>
      </c>
      <c r="G27" s="27"/>
      <c r="H27" s="27"/>
      <c r="I27" s="27">
        <f>SUM(D27:H27)</f>
        <v>301.5</v>
      </c>
      <c r="J27" s="28"/>
      <c r="K27" s="23">
        <f>IF(I27=0,0,I27-328.2)</f>
        <v>-26.7</v>
      </c>
      <c r="L27" s="29" t="s">
        <v>72</v>
      </c>
      <c r="M27" s="29" t="s">
        <v>95</v>
      </c>
    </row>
    <row r="28" spans="2:13">
      <c r="B28" s="36"/>
      <c r="C28" s="20">
        <v>46288</v>
      </c>
      <c r="D28" s="26">
        <v>60.5</v>
      </c>
      <c r="E28" s="27">
        <v>150.5</v>
      </c>
      <c r="F28" s="27"/>
      <c r="G28" s="27">
        <v>25.5</v>
      </c>
      <c r="H28" s="27">
        <v>40.5</v>
      </c>
      <c r="I28" s="27">
        <f>SUM(D28:H28)</f>
        <v>277</v>
      </c>
      <c r="J28" s="28"/>
      <c r="K28" s="23">
        <f>IF(I28=0,0,I28-328.2)</f>
        <v>-51.2</v>
      </c>
      <c r="L28" s="29" t="s">
        <v>79</v>
      </c>
      <c r="M28" s="29" t="s">
        <v>73</v>
      </c>
    </row>
    <row r="29" spans="2:13">
      <c r="B29" s="36"/>
      <c r="C29" s="20">
        <v>46289</v>
      </c>
      <c r="D29" s="26">
        <v>85.5</v>
      </c>
      <c r="E29" s="27">
        <v>145.5</v>
      </c>
      <c r="F29" s="27">
        <v>60.5</v>
      </c>
      <c r="G29" s="27"/>
      <c r="H29" s="27"/>
      <c r="I29" s="27">
        <f>SUM(D29:H29)</f>
        <v>291.5</v>
      </c>
      <c r="J29" s="28"/>
      <c r="K29" s="23">
        <f>IF(I29=0,0,I29-328.2)</f>
        <v>-36.7</v>
      </c>
      <c r="L29" s="29" t="s">
        <v>81</v>
      </c>
      <c r="M29" s="29" t="s">
        <v>75</v>
      </c>
    </row>
    <row r="30" spans="2:13">
      <c r="B30" s="36"/>
      <c r="C30" s="20">
        <v>46290</v>
      </c>
      <c r="D30" s="26">
        <v>120.5</v>
      </c>
      <c r="E30" s="27">
        <v>250.5</v>
      </c>
      <c r="F30" s="27">
        <v>120.5</v>
      </c>
      <c r="G30" s="27">
        <v>10.5</v>
      </c>
      <c r="H30" s="27"/>
      <c r="I30" s="27">
        <f>SUM(D30:H30)</f>
        <v>502</v>
      </c>
      <c r="J30" s="28"/>
      <c r="K30" s="23">
        <f>IF(I30=0,0,I30-328.2)</f>
        <v>173.8</v>
      </c>
      <c r="L30" s="29" t="s">
        <v>80</v>
      </c>
      <c r="M30" s="29" t="s">
        <v>93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1508.5</v>
      </c>
      <c r="K31" s="34"/>
      <c r="L31" s="35"/>
      <c r="M31" s="35"/>
    </row>
    <row r="32" spans="2:13">
      <c r="B32" s="36" t="s">
        <v>91</v>
      </c>
      <c r="C32" s="20">
        <v>46293</v>
      </c>
      <c r="D32" s="26"/>
      <c r="E32" s="27"/>
      <c r="F32" s="27"/>
      <c r="G32" s="27"/>
      <c r="H32" s="27"/>
      <c r="I32" s="27">
        <f>SUM(D32:H32)</f>
        <v>0</v>
      </c>
      <c r="J32" s="37"/>
      <c r="K32" s="23">
        <f>IF(I32=0,0,I32-328.2)</f>
        <v>0</v>
      </c>
      <c r="L32" s="29"/>
      <c r="M32" s="29" t="s">
        <v>74</v>
      </c>
    </row>
    <row r="33" spans="2:13">
      <c r="B33" s="36"/>
      <c r="C33" s="20">
        <v>46294</v>
      </c>
      <c r="D33" s="26">
        <v>110.5</v>
      </c>
      <c r="E33" s="27">
        <v>175.5</v>
      </c>
      <c r="F33" s="27">
        <v>105.5</v>
      </c>
      <c r="G33" s="27">
        <v>20.5</v>
      </c>
      <c r="H33" s="27">
        <v>80.5</v>
      </c>
      <c r="I33" s="27">
        <f>SUM(D33:H33)</f>
        <v>492.5</v>
      </c>
      <c r="J33" s="28"/>
      <c r="K33" s="23">
        <f>IF(I33=0,0,I33-328.2)</f>
        <v>164.3</v>
      </c>
      <c r="L33" s="29" t="s">
        <v>81</v>
      </c>
      <c r="M33" s="29" t="s">
        <v>75</v>
      </c>
    </row>
    <row r="34" spans="2:13">
      <c r="B34" s="36"/>
      <c r="C34" s="20">
        <v>46295</v>
      </c>
      <c r="D34" s="26">
        <v>50.5</v>
      </c>
      <c r="E34" s="27">
        <v>190.5</v>
      </c>
      <c r="F34" s="27">
        <v>125.5</v>
      </c>
      <c r="G34" s="27">
        <v>10.5</v>
      </c>
      <c r="H34" s="27">
        <v>80.5</v>
      </c>
      <c r="I34" s="27">
        <f>SUM(D34:H34)</f>
        <v>457.5</v>
      </c>
      <c r="J34" s="28"/>
      <c r="K34" s="23">
        <f>IF(I34=0,0,I34-328.2)</f>
        <v>129.3</v>
      </c>
      <c r="L34" s="29" t="s">
        <v>71</v>
      </c>
      <c r="M34" s="29" t="s">
        <v>93</v>
      </c>
    </row>
    <row r="35" spans="2:13">
      <c r="B35" s="36"/>
      <c r="C35" s="20"/>
      <c r="D35" s="26"/>
      <c r="E35" s="27"/>
      <c r="F35" s="27"/>
      <c r="G35" s="27"/>
      <c r="H35" s="27"/>
      <c r="I35" s="27">
        <f>SUM(D35:H35)</f>
        <v>0</v>
      </c>
      <c r="J35" s="28"/>
      <c r="K35" s="23">
        <f>IF(I35=0,0,I35-328.2)</f>
        <v>0</v>
      </c>
      <c r="L35" s="29"/>
      <c r="M35" s="29"/>
    </row>
    <row r="36" spans="2:13">
      <c r="B36" s="36"/>
      <c r="C36" s="20"/>
      <c r="D36" s="26"/>
      <c r="E36" s="27"/>
      <c r="F36" s="27"/>
      <c r="G36" s="27"/>
      <c r="H36" s="27"/>
      <c r="I36" s="27">
        <f>SUM(D36:H36)</f>
        <v>0</v>
      </c>
      <c r="J36" s="28"/>
      <c r="K36" s="23">
        <f>IF(I36=0,0,I36-328.2)</f>
        <v>0</v>
      </c>
      <c r="L36" s="29"/>
      <c r="M36" s="29"/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950</v>
      </c>
      <c r="K37" s="34"/>
      <c r="L37" s="42"/>
      <c r="M37" s="43"/>
    </row>
    <row r="38" ht="27" customHeight="1" spans="2:13">
      <c r="B38" s="44" t="s">
        <v>115</v>
      </c>
      <c r="C38" s="44"/>
      <c r="D38" s="44"/>
      <c r="E38" s="44"/>
      <c r="F38" s="44"/>
      <c r="G38" s="44"/>
      <c r="H38" s="44"/>
      <c r="I38" s="44"/>
      <c r="J38" s="45">
        <f>SUM(J13:J37)</f>
        <v>7167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0.62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18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/>
      <c r="D8" s="21"/>
      <c r="E8" s="22"/>
      <c r="F8" s="22"/>
      <c r="G8" s="22"/>
      <c r="H8" s="22"/>
      <c r="I8" s="22">
        <f>SUM(D8:H8)</f>
        <v>0</v>
      </c>
      <c r="J8" s="23"/>
      <c r="K8" s="23">
        <f>IF(I8=0,0,I8-328.2)</f>
        <v>0</v>
      </c>
      <c r="L8" s="24"/>
      <c r="M8" s="25"/>
    </row>
    <row r="9" spans="2:13">
      <c r="B9" s="19"/>
      <c r="C9" s="20"/>
      <c r="D9" s="26"/>
      <c r="E9" s="27"/>
      <c r="F9" s="27"/>
      <c r="G9" s="27"/>
      <c r="H9" s="27"/>
      <c r="I9" s="27">
        <f>SUM(D9:H9)</f>
        <v>0</v>
      </c>
      <c r="J9" s="28"/>
      <c r="K9" s="23">
        <f>IF(I9=0,0,I9-328.2)</f>
        <v>0</v>
      </c>
      <c r="L9" s="29"/>
      <c r="M9" s="29"/>
    </row>
    <row r="10" spans="2:13">
      <c r="B10" s="19"/>
      <c r="C10" s="20"/>
      <c r="D10" s="26"/>
      <c r="E10" s="27"/>
      <c r="F10" s="27"/>
      <c r="G10" s="27"/>
      <c r="H10" s="27"/>
      <c r="I10" s="27">
        <f>SUM(D10:H10)</f>
        <v>0</v>
      </c>
      <c r="J10" s="28"/>
      <c r="K10" s="23">
        <f>IF(I10=0,0,I10-328.2)</f>
        <v>0</v>
      </c>
      <c r="L10" s="29"/>
      <c r="M10" s="29"/>
    </row>
    <row r="11" spans="2:13">
      <c r="B11" s="19"/>
      <c r="C11" s="20">
        <v>46296</v>
      </c>
      <c r="D11" s="26">
        <v>75.5</v>
      </c>
      <c r="E11" s="27">
        <v>225.5</v>
      </c>
      <c r="F11" s="27"/>
      <c r="G11" s="27"/>
      <c r="H11" s="27">
        <v>50.5</v>
      </c>
      <c r="I11" s="27">
        <f>SUM(D11:H11)</f>
        <v>351.5</v>
      </c>
      <c r="J11" s="28"/>
      <c r="K11" s="23">
        <f>IF(I11=0,0,I11-328.2)</f>
        <v>23.3</v>
      </c>
      <c r="L11" s="29" t="s">
        <v>80</v>
      </c>
      <c r="M11" s="29"/>
    </row>
    <row r="12" spans="2:13">
      <c r="B12" s="19"/>
      <c r="C12" s="20">
        <v>46297</v>
      </c>
      <c r="D12" s="26">
        <v>45.5</v>
      </c>
      <c r="E12" s="27">
        <v>200.5</v>
      </c>
      <c r="F12" s="27">
        <v>115.5</v>
      </c>
      <c r="G12" s="27">
        <v>30.5</v>
      </c>
      <c r="H12" s="27">
        <v>50.5</v>
      </c>
      <c r="I12" s="27">
        <f>SUM(D12:H12)</f>
        <v>442.5</v>
      </c>
      <c r="J12" s="28"/>
      <c r="K12" s="23">
        <f>IF(I12=0,0,I12-328.2)</f>
        <v>114.3</v>
      </c>
      <c r="L12" s="29" t="s">
        <v>81</v>
      </c>
      <c r="M12" s="29" t="s">
        <v>90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794</v>
      </c>
      <c r="K13" s="34"/>
      <c r="L13" s="35"/>
      <c r="M13" s="35"/>
    </row>
    <row r="14" spans="2:13">
      <c r="B14" s="36" t="s">
        <v>78</v>
      </c>
      <c r="C14" s="20">
        <v>46300</v>
      </c>
      <c r="D14" s="26">
        <v>45.5</v>
      </c>
      <c r="E14" s="27">
        <v>59.5</v>
      </c>
      <c r="F14" s="27"/>
      <c r="G14" s="27"/>
      <c r="H14" s="27">
        <v>57.5</v>
      </c>
      <c r="I14" s="27">
        <f>SUM(D14:H14)</f>
        <v>162.5</v>
      </c>
      <c r="J14" s="28"/>
      <c r="K14" s="23">
        <f>IF(I14=0,0,I14-328.2)</f>
        <v>-165.7</v>
      </c>
      <c r="L14" s="29"/>
      <c r="M14" s="29"/>
    </row>
    <row r="15" spans="2:13">
      <c r="B15" s="36"/>
      <c r="C15" s="20">
        <v>46301</v>
      </c>
      <c r="D15" s="26">
        <v>67.5</v>
      </c>
      <c r="E15" s="27">
        <v>128.5</v>
      </c>
      <c r="F15" s="27"/>
      <c r="G15" s="27"/>
      <c r="H15" s="27">
        <v>60.5</v>
      </c>
      <c r="I15" s="27">
        <f>SUM(D15:H15)</f>
        <v>256.5</v>
      </c>
      <c r="J15" s="28"/>
      <c r="K15" s="23">
        <f>IF(I15=0,0,I15-328.2)</f>
        <v>-71.7</v>
      </c>
      <c r="L15" s="29"/>
      <c r="M15" s="29"/>
    </row>
    <row r="16" spans="2:13">
      <c r="B16" s="36"/>
      <c r="C16" s="20">
        <v>46302</v>
      </c>
      <c r="D16" s="26">
        <v>50.5</v>
      </c>
      <c r="E16" s="27">
        <v>67.5</v>
      </c>
      <c r="F16" s="27">
        <v>125.5</v>
      </c>
      <c r="G16" s="27"/>
      <c r="H16" s="27">
        <v>40.5</v>
      </c>
      <c r="I16" s="27">
        <f>SUM(D16:H16)</f>
        <v>284</v>
      </c>
      <c r="J16" s="28"/>
      <c r="K16" s="23">
        <f>IF(I16=0,0,I16-328.2)</f>
        <v>-44.2</v>
      </c>
      <c r="L16" s="29" t="s">
        <v>87</v>
      </c>
      <c r="M16" s="29" t="s">
        <v>82</v>
      </c>
    </row>
    <row r="17" spans="2:13">
      <c r="B17" s="36"/>
      <c r="C17" s="20">
        <v>46303</v>
      </c>
      <c r="D17" s="26"/>
      <c r="E17" s="27"/>
      <c r="F17" s="27"/>
      <c r="G17" s="27"/>
      <c r="H17" s="27"/>
      <c r="I17" s="27">
        <f>SUM(D17:H17)</f>
        <v>0</v>
      </c>
      <c r="J17" s="28"/>
      <c r="K17" s="23">
        <f>IF(I17=0,0,I17-328.2)</f>
        <v>0</v>
      </c>
      <c r="L17" s="29"/>
      <c r="M17" s="29" t="s">
        <v>75</v>
      </c>
    </row>
    <row r="18" spans="2:13">
      <c r="B18" s="36"/>
      <c r="C18" s="20">
        <v>46304</v>
      </c>
      <c r="D18" s="26">
        <v>125.5</v>
      </c>
      <c r="E18" s="27">
        <v>230.5</v>
      </c>
      <c r="F18" s="27"/>
      <c r="G18" s="27">
        <v>25.5</v>
      </c>
      <c r="H18" s="27">
        <v>100.5</v>
      </c>
      <c r="I18" s="27">
        <f>SUM(D18:H18)</f>
        <v>482</v>
      </c>
      <c r="J18" s="28"/>
      <c r="K18" s="23">
        <f>IF(I18=0,0,I18-328.2)</f>
        <v>153.8</v>
      </c>
      <c r="L18" s="29" t="s">
        <v>72</v>
      </c>
      <c r="M18" s="29" t="s">
        <v>75</v>
      </c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1185</v>
      </c>
      <c r="K19" s="34"/>
      <c r="L19" s="35"/>
      <c r="M19" s="35"/>
    </row>
    <row r="20" spans="2:13">
      <c r="B20" s="36" t="s">
        <v>84</v>
      </c>
      <c r="C20" s="20">
        <v>46307</v>
      </c>
      <c r="D20" s="26">
        <v>75.5</v>
      </c>
      <c r="E20" s="27">
        <v>190.5</v>
      </c>
      <c r="F20" s="27">
        <v>125.5</v>
      </c>
      <c r="G20" s="27">
        <v>25.5</v>
      </c>
      <c r="H20" s="27">
        <v>60.5</v>
      </c>
      <c r="I20" s="27">
        <f>SUM(D20:H20)</f>
        <v>477.5</v>
      </c>
      <c r="J20" s="28"/>
      <c r="K20" s="23">
        <f>IF(I20=0,0,I20-328.2)</f>
        <v>149.3</v>
      </c>
      <c r="L20" s="29" t="s">
        <v>86</v>
      </c>
      <c r="M20" s="29" t="s">
        <v>93</v>
      </c>
    </row>
    <row r="21" spans="2:13">
      <c r="B21" s="36"/>
      <c r="C21" s="20">
        <v>46308</v>
      </c>
      <c r="D21" s="26">
        <v>120.5</v>
      </c>
      <c r="E21" s="27">
        <v>255.5</v>
      </c>
      <c r="F21" s="27">
        <v>95.5</v>
      </c>
      <c r="G21" s="27">
        <v>10.5</v>
      </c>
      <c r="H21" s="27">
        <v>70.5</v>
      </c>
      <c r="I21" s="27">
        <f>SUM(D21:H21)</f>
        <v>552.5</v>
      </c>
      <c r="J21" s="28"/>
      <c r="K21" s="23">
        <f>IF(I21=0,0,I21-328.2)</f>
        <v>224.3</v>
      </c>
      <c r="L21" s="29" t="s">
        <v>79</v>
      </c>
      <c r="M21" s="29"/>
    </row>
    <row r="22" spans="2:13">
      <c r="B22" s="36"/>
      <c r="C22" s="20">
        <v>46309</v>
      </c>
      <c r="D22" s="26">
        <v>70.5</v>
      </c>
      <c r="E22" s="27"/>
      <c r="F22" s="27">
        <v>105.5</v>
      </c>
      <c r="G22" s="27">
        <v>30.5</v>
      </c>
      <c r="H22" s="27">
        <v>50.5</v>
      </c>
      <c r="I22" s="27">
        <f>SUM(D22:H22)</f>
        <v>257</v>
      </c>
      <c r="J22" s="28"/>
      <c r="K22" s="23">
        <f>IF(I22=0,0,I22-328.2)</f>
        <v>-71.2</v>
      </c>
      <c r="L22" s="29" t="s">
        <v>86</v>
      </c>
      <c r="M22" s="29" t="s">
        <v>96</v>
      </c>
    </row>
    <row r="23" spans="2:13">
      <c r="B23" s="36"/>
      <c r="C23" s="20">
        <v>46310</v>
      </c>
      <c r="D23" s="26">
        <v>60.5</v>
      </c>
      <c r="E23" s="27">
        <v>49.5</v>
      </c>
      <c r="F23" s="27"/>
      <c r="G23" s="27"/>
      <c r="H23" s="27">
        <v>56.5</v>
      </c>
      <c r="I23" s="27">
        <f>SUM(D23:H23)</f>
        <v>166.5</v>
      </c>
      <c r="J23" s="28"/>
      <c r="K23" s="23">
        <f>IF(I23=0,0,I23-328.2)</f>
        <v>-161.7</v>
      </c>
      <c r="L23" s="29"/>
      <c r="M23" s="29"/>
    </row>
    <row r="24" spans="2:13">
      <c r="B24" s="36"/>
      <c r="C24" s="20">
        <v>46311</v>
      </c>
      <c r="D24" s="26">
        <v>110.5</v>
      </c>
      <c r="E24" s="27">
        <v>340.5</v>
      </c>
      <c r="F24" s="27">
        <v>155.5</v>
      </c>
      <c r="G24" s="27">
        <v>20.5</v>
      </c>
      <c r="H24" s="27"/>
      <c r="I24" s="27">
        <f>SUM(D24:H24)</f>
        <v>627</v>
      </c>
      <c r="J24" s="28"/>
      <c r="K24" s="23">
        <f>IF(I24=0,0,I24-328.2)</f>
        <v>298.8</v>
      </c>
      <c r="L24" s="29" t="s">
        <v>81</v>
      </c>
      <c r="M24" s="29" t="s">
        <v>73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2080.5</v>
      </c>
      <c r="K25" s="34"/>
      <c r="L25" s="35"/>
      <c r="M25" s="35"/>
    </row>
    <row r="26" spans="2:13">
      <c r="B26" s="36" t="s">
        <v>88</v>
      </c>
      <c r="C26" s="20">
        <v>46314</v>
      </c>
      <c r="D26" s="26">
        <v>60.5</v>
      </c>
      <c r="E26" s="27">
        <v>215.5</v>
      </c>
      <c r="F26" s="27">
        <v>105.5</v>
      </c>
      <c r="G26" s="27"/>
      <c r="H26" s="27"/>
      <c r="I26" s="27">
        <f>SUM(D26:H26)</f>
        <v>381.5</v>
      </c>
      <c r="J26" s="28"/>
      <c r="K26" s="23">
        <f>IF(I26=0,0,I26-328.2)</f>
        <v>53.3</v>
      </c>
      <c r="L26" s="29" t="s">
        <v>71</v>
      </c>
      <c r="M26" s="29" t="s">
        <v>75</v>
      </c>
    </row>
    <row r="27" spans="2:13">
      <c r="B27" s="36"/>
      <c r="C27" s="20">
        <v>46315</v>
      </c>
      <c r="D27" s="26">
        <v>70.5</v>
      </c>
      <c r="E27" s="27"/>
      <c r="F27" s="27"/>
      <c r="G27" s="27">
        <v>20.5</v>
      </c>
      <c r="H27" s="27">
        <v>30.5</v>
      </c>
      <c r="I27" s="27">
        <f>SUM(D27:H27)</f>
        <v>121.5</v>
      </c>
      <c r="J27" s="28"/>
      <c r="K27" s="23">
        <f>IF(I27=0,0,I27-328.2)</f>
        <v>-206.7</v>
      </c>
      <c r="L27" s="29" t="s">
        <v>81</v>
      </c>
      <c r="M27" s="29"/>
    </row>
    <row r="28" spans="2:13">
      <c r="B28" s="36"/>
      <c r="C28" s="20">
        <v>46316</v>
      </c>
      <c r="D28" s="26">
        <v>34.5</v>
      </c>
      <c r="E28" s="27">
        <v>67.5</v>
      </c>
      <c r="F28" s="27"/>
      <c r="G28" s="27"/>
      <c r="H28" s="27">
        <v>130.5</v>
      </c>
      <c r="I28" s="27">
        <f>SUM(D28:H28)</f>
        <v>232.5</v>
      </c>
      <c r="J28" s="28"/>
      <c r="K28" s="23">
        <f>IF(I28=0,0,I28-328.2)</f>
        <v>-95.7</v>
      </c>
      <c r="L28" s="29"/>
      <c r="M28" s="29" t="s">
        <v>75</v>
      </c>
    </row>
    <row r="29" spans="2:13">
      <c r="B29" s="36"/>
      <c r="C29" s="20">
        <v>46317</v>
      </c>
      <c r="D29" s="26">
        <v>75.5</v>
      </c>
      <c r="E29" s="27">
        <v>165.5</v>
      </c>
      <c r="F29" s="27">
        <v>60.5</v>
      </c>
      <c r="G29" s="27"/>
      <c r="H29" s="27">
        <v>100.5</v>
      </c>
      <c r="I29" s="27">
        <f>SUM(D29:H29)</f>
        <v>402</v>
      </c>
      <c r="J29" s="28"/>
      <c r="K29" s="23">
        <f>IF(I29=0,0,I29-328.2)</f>
        <v>73.8</v>
      </c>
      <c r="L29" s="29" t="s">
        <v>81</v>
      </c>
      <c r="M29" s="29" t="s">
        <v>75</v>
      </c>
    </row>
    <row r="30" spans="2:13">
      <c r="B30" s="36"/>
      <c r="C30" s="20">
        <v>46318</v>
      </c>
      <c r="D30" s="26">
        <v>75.5</v>
      </c>
      <c r="E30" s="27">
        <v>200.5</v>
      </c>
      <c r="F30" s="27">
        <v>130.5</v>
      </c>
      <c r="G30" s="27">
        <v>15.5</v>
      </c>
      <c r="H30" s="27">
        <v>40.5</v>
      </c>
      <c r="I30" s="27">
        <f>SUM(D30:H30)</f>
        <v>462.5</v>
      </c>
      <c r="J30" s="28"/>
      <c r="K30" s="23">
        <f>IF(I30=0,0,I30-328.2)</f>
        <v>134.3</v>
      </c>
      <c r="L30" s="29" t="s">
        <v>71</v>
      </c>
      <c r="M30" s="29" t="s">
        <v>101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1600</v>
      </c>
      <c r="K31" s="34"/>
      <c r="L31" s="35"/>
      <c r="M31" s="35"/>
    </row>
    <row r="32" spans="2:13">
      <c r="B32" s="36" t="s">
        <v>91</v>
      </c>
      <c r="C32" s="20">
        <v>46321</v>
      </c>
      <c r="D32" s="26">
        <v>50.5</v>
      </c>
      <c r="E32" s="27">
        <v>170.5</v>
      </c>
      <c r="F32" s="27">
        <v>85.5</v>
      </c>
      <c r="G32" s="27">
        <v>25.5</v>
      </c>
      <c r="H32" s="27"/>
      <c r="I32" s="27">
        <f>SUM(D32:H32)</f>
        <v>332</v>
      </c>
      <c r="J32" s="37"/>
      <c r="K32" s="23">
        <f>IF(I32=0,0,I32-328.2)</f>
        <v>3.80000000000001</v>
      </c>
      <c r="L32" s="29" t="s">
        <v>81</v>
      </c>
      <c r="M32" s="29" t="s">
        <v>95</v>
      </c>
    </row>
    <row r="33" spans="2:13">
      <c r="B33" s="36"/>
      <c r="C33" s="20">
        <v>46322</v>
      </c>
      <c r="D33" s="26">
        <v>90.5</v>
      </c>
      <c r="E33" s="27">
        <v>235.5</v>
      </c>
      <c r="F33" s="27">
        <v>115.5</v>
      </c>
      <c r="G33" s="27">
        <v>20.5</v>
      </c>
      <c r="H33" s="27">
        <v>80.5</v>
      </c>
      <c r="I33" s="27">
        <f>SUM(D33:H33)</f>
        <v>542.5</v>
      </c>
      <c r="J33" s="28"/>
      <c r="K33" s="23">
        <f>IF(I33=0,0,I33-328.2)</f>
        <v>214.3</v>
      </c>
      <c r="L33" s="29" t="s">
        <v>83</v>
      </c>
      <c r="M33" s="29" t="s">
        <v>75</v>
      </c>
    </row>
    <row r="34" spans="2:13">
      <c r="B34" s="36"/>
      <c r="C34" s="20">
        <v>46323</v>
      </c>
      <c r="D34" s="26">
        <v>60.5</v>
      </c>
      <c r="E34" s="27">
        <v>145.5</v>
      </c>
      <c r="F34" s="27"/>
      <c r="G34" s="27">
        <v>10.5</v>
      </c>
      <c r="H34" s="27">
        <v>30.5</v>
      </c>
      <c r="I34" s="27">
        <f>SUM(D34:H34)</f>
        <v>247</v>
      </c>
      <c r="J34" s="28"/>
      <c r="K34" s="23">
        <f>IF(I34=0,0,I34-328.2)</f>
        <v>-81.2</v>
      </c>
      <c r="L34" s="29" t="s">
        <v>80</v>
      </c>
      <c r="M34" s="29" t="s">
        <v>75</v>
      </c>
    </row>
    <row r="35" spans="2:13">
      <c r="B35" s="36"/>
      <c r="C35" s="20">
        <v>46324</v>
      </c>
      <c r="D35" s="26">
        <v>55.5</v>
      </c>
      <c r="E35" s="27">
        <v>170.5</v>
      </c>
      <c r="F35" s="27">
        <v>90.5</v>
      </c>
      <c r="G35" s="27"/>
      <c r="H35" s="27">
        <v>65.5</v>
      </c>
      <c r="I35" s="27">
        <f>SUM(D35:H35)</f>
        <v>382</v>
      </c>
      <c r="J35" s="28"/>
      <c r="K35" s="23">
        <f>IF(I35=0,0,I35-328.2)</f>
        <v>53.8</v>
      </c>
      <c r="L35" s="29" t="s">
        <v>87</v>
      </c>
      <c r="M35" s="29" t="s">
        <v>96</v>
      </c>
    </row>
    <row r="36" spans="2:13">
      <c r="B36" s="36"/>
      <c r="C36" s="20">
        <v>46325</v>
      </c>
      <c r="D36" s="26">
        <v>145.5</v>
      </c>
      <c r="E36" s="27">
        <v>280.5</v>
      </c>
      <c r="F36" s="27">
        <v>95.5</v>
      </c>
      <c r="G36" s="27"/>
      <c r="H36" s="27">
        <v>40.5</v>
      </c>
      <c r="I36" s="27">
        <f>SUM(D36:H36)</f>
        <v>562</v>
      </c>
      <c r="J36" s="28"/>
      <c r="K36" s="23">
        <f>IF(I36=0,0,I36-328.2)</f>
        <v>233.8</v>
      </c>
      <c r="L36" s="29" t="s">
        <v>87</v>
      </c>
      <c r="M36" s="29" t="s">
        <v>75</v>
      </c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2065.5</v>
      </c>
      <c r="K37" s="34"/>
      <c r="L37" s="42"/>
      <c r="M37" s="43"/>
    </row>
    <row r="38" ht="27" customHeight="1" spans="2:13">
      <c r="B38" s="44" t="s">
        <v>116</v>
      </c>
      <c r="C38" s="44"/>
      <c r="D38" s="44"/>
      <c r="E38" s="44"/>
      <c r="F38" s="44"/>
      <c r="G38" s="44"/>
      <c r="H38" s="44"/>
      <c r="I38" s="44"/>
      <c r="J38" s="45">
        <f>SUM(J13:J37)</f>
        <v>7725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0.87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19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>
        <v>46328</v>
      </c>
      <c r="D8" s="21">
        <v>55.5</v>
      </c>
      <c r="E8" s="22">
        <v>180.5</v>
      </c>
      <c r="F8" s="22">
        <v>120.5</v>
      </c>
      <c r="G8" s="22">
        <v>20.5</v>
      </c>
      <c r="H8" s="22"/>
      <c r="I8" s="22">
        <f>SUM(D8:H8)</f>
        <v>377</v>
      </c>
      <c r="J8" s="23"/>
      <c r="K8" s="23">
        <f>IF(I8=0,0,I8-328.2)</f>
        <v>48.8</v>
      </c>
      <c r="L8" s="24" t="s">
        <v>71</v>
      </c>
      <c r="M8" s="25" t="s">
        <v>95</v>
      </c>
    </row>
    <row r="9" spans="2:13">
      <c r="B9" s="19"/>
      <c r="C9" s="20">
        <v>46329</v>
      </c>
      <c r="D9" s="26">
        <v>65.5</v>
      </c>
      <c r="E9" s="27">
        <v>150.5</v>
      </c>
      <c r="F9" s="27">
        <v>100.5</v>
      </c>
      <c r="G9" s="27">
        <v>15.5</v>
      </c>
      <c r="H9" s="27"/>
      <c r="I9" s="27">
        <f>SUM(D9:H9)</f>
        <v>332</v>
      </c>
      <c r="J9" s="28"/>
      <c r="K9" s="23">
        <f>IF(I9=0,0,I9-328.2)</f>
        <v>3.80000000000001</v>
      </c>
      <c r="L9" s="29" t="s">
        <v>86</v>
      </c>
      <c r="M9" s="29" t="s">
        <v>82</v>
      </c>
    </row>
    <row r="10" spans="2:13">
      <c r="B10" s="19"/>
      <c r="C10" s="20">
        <v>46330</v>
      </c>
      <c r="D10" s="26">
        <v>95.5</v>
      </c>
      <c r="E10" s="27"/>
      <c r="F10" s="27">
        <v>100.5</v>
      </c>
      <c r="G10" s="27">
        <v>20.5</v>
      </c>
      <c r="H10" s="27">
        <v>50.5</v>
      </c>
      <c r="I10" s="27">
        <f>SUM(D10:H10)</f>
        <v>267</v>
      </c>
      <c r="J10" s="28"/>
      <c r="K10" s="23">
        <f>IF(I10=0,0,I10-328.2)</f>
        <v>-61.2</v>
      </c>
      <c r="L10" s="29" t="s">
        <v>81</v>
      </c>
      <c r="M10" s="29" t="s">
        <v>82</v>
      </c>
    </row>
    <row r="11" spans="2:13">
      <c r="B11" s="19"/>
      <c r="C11" s="20">
        <v>46331</v>
      </c>
      <c r="D11" s="26">
        <v>115.5</v>
      </c>
      <c r="E11" s="27">
        <v>275.5</v>
      </c>
      <c r="F11" s="27">
        <v>135.5</v>
      </c>
      <c r="G11" s="27"/>
      <c r="H11" s="27">
        <v>30.5</v>
      </c>
      <c r="I11" s="27">
        <f>SUM(D11:H11)</f>
        <v>557</v>
      </c>
      <c r="J11" s="28"/>
      <c r="K11" s="23">
        <f>IF(I11=0,0,I11-328.2)</f>
        <v>228.8</v>
      </c>
      <c r="L11" s="29" t="s">
        <v>87</v>
      </c>
      <c r="M11" s="29" t="s">
        <v>82</v>
      </c>
    </row>
    <row r="12" spans="2:13">
      <c r="B12" s="19"/>
      <c r="C12" s="20">
        <v>46332</v>
      </c>
      <c r="D12" s="26">
        <v>100.5</v>
      </c>
      <c r="E12" s="27">
        <v>255.5</v>
      </c>
      <c r="F12" s="27">
        <v>145.5</v>
      </c>
      <c r="G12" s="27">
        <v>30.5</v>
      </c>
      <c r="H12" s="27"/>
      <c r="I12" s="27">
        <f>SUM(D12:H12)</f>
        <v>532</v>
      </c>
      <c r="J12" s="28"/>
      <c r="K12" s="23">
        <f>IF(I12=0,0,I12-328.2)</f>
        <v>203.8</v>
      </c>
      <c r="L12" s="29" t="s">
        <v>87</v>
      </c>
      <c r="M12" s="29" t="s">
        <v>93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2065</v>
      </c>
      <c r="K13" s="34"/>
      <c r="L13" s="35"/>
      <c r="M13" s="35"/>
    </row>
    <row r="14" spans="2:13">
      <c r="B14" s="36" t="s">
        <v>78</v>
      </c>
      <c r="C14" s="20">
        <v>46335</v>
      </c>
      <c r="D14" s="26">
        <v>80.5</v>
      </c>
      <c r="E14" s="27">
        <v>165.5</v>
      </c>
      <c r="F14" s="27">
        <v>95.5</v>
      </c>
      <c r="G14" s="27">
        <v>10.5</v>
      </c>
      <c r="H14" s="27">
        <v>120.5</v>
      </c>
      <c r="I14" s="27">
        <f>SUM(D14:H14)</f>
        <v>472.5</v>
      </c>
      <c r="J14" s="28"/>
      <c r="K14" s="23">
        <f>IF(I14=0,0,I14-328.2)</f>
        <v>144.3</v>
      </c>
      <c r="L14" s="29" t="s">
        <v>72</v>
      </c>
      <c r="M14" s="29" t="s">
        <v>95</v>
      </c>
    </row>
    <row r="15" spans="2:13">
      <c r="B15" s="36"/>
      <c r="C15" s="20">
        <v>46336</v>
      </c>
      <c r="D15" s="26">
        <v>30.5</v>
      </c>
      <c r="E15" s="27">
        <v>175.5</v>
      </c>
      <c r="F15" s="27">
        <v>75.5</v>
      </c>
      <c r="G15" s="27"/>
      <c r="H15" s="27"/>
      <c r="I15" s="27">
        <f>SUM(D15:H15)</f>
        <v>281.5</v>
      </c>
      <c r="J15" s="28"/>
      <c r="K15" s="23">
        <f>IF(I15=0,0,I15-328.2)</f>
        <v>-46.7</v>
      </c>
      <c r="L15" s="29" t="s">
        <v>80</v>
      </c>
      <c r="M15" s="29" t="s">
        <v>101</v>
      </c>
    </row>
    <row r="16" spans="2:13">
      <c r="B16" s="36"/>
      <c r="C16" s="20">
        <v>46337</v>
      </c>
      <c r="D16" s="26">
        <v>90.5</v>
      </c>
      <c r="E16" s="27">
        <v>240.5</v>
      </c>
      <c r="F16" s="27">
        <v>75.5</v>
      </c>
      <c r="G16" s="27">
        <v>25.5</v>
      </c>
      <c r="H16" s="27">
        <v>50.5</v>
      </c>
      <c r="I16" s="27">
        <f>SUM(D16:H16)</f>
        <v>482.5</v>
      </c>
      <c r="J16" s="28"/>
      <c r="K16" s="23">
        <f>IF(I16=0,0,I16-328.2)</f>
        <v>154.3</v>
      </c>
      <c r="L16" s="29" t="s">
        <v>72</v>
      </c>
      <c r="M16" s="29" t="s">
        <v>75</v>
      </c>
    </row>
    <row r="17" spans="2:13">
      <c r="B17" s="36"/>
      <c r="C17" s="20">
        <v>46338</v>
      </c>
      <c r="D17" s="26">
        <v>45.5</v>
      </c>
      <c r="E17" s="27"/>
      <c r="F17" s="27"/>
      <c r="G17" s="27">
        <v>30.5</v>
      </c>
      <c r="H17" s="27">
        <v>40.5</v>
      </c>
      <c r="I17" s="27">
        <f>SUM(D17:H17)</f>
        <v>116.5</v>
      </c>
      <c r="J17" s="28"/>
      <c r="K17" s="23">
        <f>IF(I17=0,0,I17-328.2)</f>
        <v>-211.7</v>
      </c>
      <c r="L17" s="29" t="s">
        <v>71</v>
      </c>
      <c r="M17" s="29" t="s">
        <v>75</v>
      </c>
    </row>
    <row r="18" spans="2:13">
      <c r="B18" s="36"/>
      <c r="C18" s="20">
        <v>46339</v>
      </c>
      <c r="D18" s="26">
        <v>90.5</v>
      </c>
      <c r="E18" s="27">
        <v>225.5</v>
      </c>
      <c r="F18" s="27"/>
      <c r="G18" s="27">
        <v>15.5</v>
      </c>
      <c r="H18" s="27">
        <v>90.5</v>
      </c>
      <c r="I18" s="27">
        <f>SUM(D18:H18)</f>
        <v>422</v>
      </c>
      <c r="J18" s="28"/>
      <c r="K18" s="23">
        <f>IF(I18=0,0,I18-328.2)</f>
        <v>93.8</v>
      </c>
      <c r="L18" s="29" t="s">
        <v>72</v>
      </c>
      <c r="M18" s="29" t="s">
        <v>95</v>
      </c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1775</v>
      </c>
      <c r="K19" s="34"/>
      <c r="L19" s="35"/>
      <c r="M19" s="35"/>
    </row>
    <row r="20" spans="2:13">
      <c r="B20" s="36" t="s">
        <v>84</v>
      </c>
      <c r="C20" s="20">
        <v>46342</v>
      </c>
      <c r="D20" s="26">
        <v>34.5</v>
      </c>
      <c r="E20" s="27">
        <v>120.5</v>
      </c>
      <c r="F20" s="27"/>
      <c r="G20" s="27"/>
      <c r="H20" s="27">
        <v>120.5</v>
      </c>
      <c r="I20" s="27">
        <f>SUM(D20:H20)</f>
        <v>275.5</v>
      </c>
      <c r="J20" s="28"/>
      <c r="K20" s="23">
        <f>IF(I20=0,0,I20-328.2)</f>
        <v>-52.7</v>
      </c>
      <c r="L20" s="29"/>
      <c r="M20" s="29"/>
    </row>
    <row r="21" spans="2:13">
      <c r="B21" s="36"/>
      <c r="C21" s="20">
        <v>46343</v>
      </c>
      <c r="D21" s="26">
        <v>45.5</v>
      </c>
      <c r="E21" s="27">
        <v>185.5</v>
      </c>
      <c r="F21" s="27">
        <v>95.5</v>
      </c>
      <c r="G21" s="27"/>
      <c r="H21" s="27">
        <v>100.5</v>
      </c>
      <c r="I21" s="27">
        <f>SUM(D21:H21)</f>
        <v>427</v>
      </c>
      <c r="J21" s="28"/>
      <c r="K21" s="23">
        <f>IF(I21=0,0,I21-328.2)</f>
        <v>98.8</v>
      </c>
      <c r="L21" s="29" t="s">
        <v>87</v>
      </c>
      <c r="M21" s="29" t="s">
        <v>76</v>
      </c>
    </row>
    <row r="22" spans="2:13">
      <c r="B22" s="36"/>
      <c r="C22" s="20">
        <v>46344</v>
      </c>
      <c r="D22" s="26">
        <v>68.5</v>
      </c>
      <c r="E22" s="27">
        <v>60.5</v>
      </c>
      <c r="F22" s="27"/>
      <c r="G22" s="27"/>
      <c r="H22" s="27">
        <v>70.5</v>
      </c>
      <c r="I22" s="27">
        <f>SUM(D22:H22)</f>
        <v>199.5</v>
      </c>
      <c r="J22" s="28"/>
      <c r="K22" s="23">
        <f>IF(I22=0,0,I22-328.2)</f>
        <v>-128.7</v>
      </c>
      <c r="L22" s="29"/>
      <c r="M22" s="29"/>
    </row>
    <row r="23" spans="2:13">
      <c r="B23" s="36"/>
      <c r="C23" s="20">
        <v>46345</v>
      </c>
      <c r="D23" s="26">
        <v>90.5</v>
      </c>
      <c r="E23" s="27">
        <v>90.5</v>
      </c>
      <c r="F23" s="27"/>
      <c r="G23" s="27"/>
      <c r="H23" s="27">
        <v>200.5</v>
      </c>
      <c r="I23" s="27">
        <f>SUM(D23:H23)</f>
        <v>381.5</v>
      </c>
      <c r="J23" s="28"/>
      <c r="K23" s="23">
        <f>IF(I23=0,0,I23-328.2)</f>
        <v>53.3</v>
      </c>
      <c r="L23" s="29"/>
      <c r="M23" s="29"/>
    </row>
    <row r="24" spans="2:13">
      <c r="B24" s="36"/>
      <c r="C24" s="20">
        <v>46346</v>
      </c>
      <c r="D24" s="26">
        <v>145.5</v>
      </c>
      <c r="E24" s="27">
        <v>230.5</v>
      </c>
      <c r="F24" s="27">
        <v>95.5</v>
      </c>
      <c r="G24" s="27">
        <v>10.5</v>
      </c>
      <c r="H24" s="27">
        <v>20.5</v>
      </c>
      <c r="I24" s="27">
        <f>SUM(D24:H24)</f>
        <v>502.5</v>
      </c>
      <c r="J24" s="28"/>
      <c r="K24" s="23">
        <f>IF(I24=0,0,I24-328.2)</f>
        <v>174.3</v>
      </c>
      <c r="L24" s="29" t="s">
        <v>79</v>
      </c>
      <c r="M24" s="29" t="s">
        <v>75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1786</v>
      </c>
      <c r="K25" s="34"/>
      <c r="L25" s="35"/>
      <c r="M25" s="35"/>
    </row>
    <row r="26" spans="2:13">
      <c r="B26" s="36" t="s">
        <v>88</v>
      </c>
      <c r="C26" s="20">
        <v>46349</v>
      </c>
      <c r="D26" s="26">
        <v>75.5</v>
      </c>
      <c r="E26" s="27">
        <v>185.5</v>
      </c>
      <c r="F26" s="27">
        <v>110.5</v>
      </c>
      <c r="G26" s="27">
        <v>10.5</v>
      </c>
      <c r="H26" s="27"/>
      <c r="I26" s="27">
        <f>SUM(D26:H26)</f>
        <v>382</v>
      </c>
      <c r="J26" s="28"/>
      <c r="K26" s="23">
        <f>IF(I26=0,0,I26-328.2)</f>
        <v>53.8</v>
      </c>
      <c r="L26" s="29" t="s">
        <v>81</v>
      </c>
      <c r="M26" s="29" t="s">
        <v>75</v>
      </c>
    </row>
    <row r="27" spans="2:13">
      <c r="B27" s="36"/>
      <c r="C27" s="20">
        <v>46350</v>
      </c>
      <c r="D27" s="26">
        <v>90.5</v>
      </c>
      <c r="E27" s="27">
        <v>200.5</v>
      </c>
      <c r="F27" s="27">
        <v>55.5</v>
      </c>
      <c r="G27" s="27">
        <v>30.5</v>
      </c>
      <c r="H27" s="27">
        <v>80.5</v>
      </c>
      <c r="I27" s="27">
        <f>SUM(D27:H27)</f>
        <v>457.5</v>
      </c>
      <c r="J27" s="28"/>
      <c r="K27" s="23">
        <f>IF(I27=0,0,I27-328.2)</f>
        <v>129.3</v>
      </c>
      <c r="L27" s="29" t="s">
        <v>79</v>
      </c>
      <c r="M27" s="29" t="s">
        <v>75</v>
      </c>
    </row>
    <row r="28" spans="2:13">
      <c r="B28" s="36"/>
      <c r="C28" s="20">
        <v>46351</v>
      </c>
      <c r="D28" s="26">
        <v>45.5</v>
      </c>
      <c r="E28" s="27">
        <v>70.5</v>
      </c>
      <c r="F28" s="27"/>
      <c r="G28" s="27"/>
      <c r="H28" s="27">
        <v>80.5</v>
      </c>
      <c r="I28" s="27">
        <f>SUM(D28:H28)</f>
        <v>196.5</v>
      </c>
      <c r="J28" s="28"/>
      <c r="K28" s="23">
        <f>IF(I28=0,0,I28-328.2)</f>
        <v>-131.7</v>
      </c>
      <c r="L28" s="29"/>
      <c r="M28" s="29" t="s">
        <v>75</v>
      </c>
    </row>
    <row r="29" spans="2:13">
      <c r="B29" s="36"/>
      <c r="C29" s="20">
        <v>46352</v>
      </c>
      <c r="D29" s="26">
        <v>90.5</v>
      </c>
      <c r="E29" s="27">
        <v>155.5</v>
      </c>
      <c r="F29" s="27">
        <v>70.5</v>
      </c>
      <c r="G29" s="27">
        <v>25.5</v>
      </c>
      <c r="H29" s="27">
        <v>120.5</v>
      </c>
      <c r="I29" s="27">
        <f>SUM(D29:H29)</f>
        <v>462.5</v>
      </c>
      <c r="J29" s="28"/>
      <c r="K29" s="23">
        <f>IF(I29=0,0,I29-328.2)</f>
        <v>134.3</v>
      </c>
      <c r="L29" s="29" t="s">
        <v>81</v>
      </c>
      <c r="M29" s="29" t="s">
        <v>95</v>
      </c>
    </row>
    <row r="30" spans="2:13">
      <c r="B30" s="36"/>
      <c r="C30" s="20">
        <v>46353</v>
      </c>
      <c r="D30" s="26"/>
      <c r="E30" s="27"/>
      <c r="F30" s="27"/>
      <c r="G30" s="27"/>
      <c r="H30" s="27"/>
      <c r="I30" s="27">
        <f>SUM(D30:H30)</f>
        <v>0</v>
      </c>
      <c r="J30" s="28"/>
      <c r="K30" s="23">
        <f>IF(I30=0,0,I30-328.2)</f>
        <v>0</v>
      </c>
      <c r="L30" s="29"/>
      <c r="M30" s="29" t="s">
        <v>74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1498.5</v>
      </c>
      <c r="K31" s="34"/>
      <c r="L31" s="35"/>
      <c r="M31" s="35"/>
    </row>
    <row r="32" spans="2:13">
      <c r="B32" s="36" t="s">
        <v>91</v>
      </c>
      <c r="C32" s="20">
        <v>46356</v>
      </c>
      <c r="D32" s="26">
        <v>75.5</v>
      </c>
      <c r="E32" s="27">
        <v>165.5</v>
      </c>
      <c r="F32" s="27">
        <v>100.5</v>
      </c>
      <c r="G32" s="27">
        <v>30.5</v>
      </c>
      <c r="H32" s="27"/>
      <c r="I32" s="27">
        <f>SUM(D32:H32)</f>
        <v>372</v>
      </c>
      <c r="J32" s="37"/>
      <c r="K32" s="23">
        <f>IF(I32=0,0,I32-328.2)</f>
        <v>43.8</v>
      </c>
      <c r="L32" s="29" t="s">
        <v>86</v>
      </c>
      <c r="M32" s="29" t="s">
        <v>73</v>
      </c>
    </row>
    <row r="33" spans="2:13">
      <c r="B33" s="36"/>
      <c r="C33" s="20"/>
      <c r="D33" s="26"/>
      <c r="E33" s="27"/>
      <c r="F33" s="27"/>
      <c r="G33" s="27"/>
      <c r="H33" s="27"/>
      <c r="I33" s="27">
        <f>SUM(D33:H33)</f>
        <v>0</v>
      </c>
      <c r="J33" s="28"/>
      <c r="K33" s="23">
        <f>IF(I33=0,0,I33-328.2)</f>
        <v>0</v>
      </c>
      <c r="L33" s="29"/>
      <c r="M33" s="29"/>
    </row>
    <row r="34" spans="2:13">
      <c r="B34" s="36"/>
      <c r="C34" s="20"/>
      <c r="D34" s="26"/>
      <c r="E34" s="27"/>
      <c r="F34" s="27"/>
      <c r="G34" s="27"/>
      <c r="H34" s="27"/>
      <c r="I34" s="27">
        <f>SUM(D34:H34)</f>
        <v>0</v>
      </c>
      <c r="J34" s="28"/>
      <c r="K34" s="23">
        <f>IF(I34=0,0,I34-328.2)</f>
        <v>0</v>
      </c>
      <c r="L34" s="29"/>
      <c r="M34" s="29"/>
    </row>
    <row r="35" spans="2:13">
      <c r="B35" s="36"/>
      <c r="C35" s="20"/>
      <c r="D35" s="26"/>
      <c r="E35" s="27"/>
      <c r="F35" s="27"/>
      <c r="G35" s="27"/>
      <c r="H35" s="27"/>
      <c r="I35" s="27">
        <f>SUM(D35:H35)</f>
        <v>0</v>
      </c>
      <c r="J35" s="28"/>
      <c r="K35" s="23">
        <f>IF(I35=0,0,I35-328.2)</f>
        <v>0</v>
      </c>
      <c r="L35" s="29"/>
      <c r="M35" s="29"/>
    </row>
    <row r="36" spans="2:13">
      <c r="B36" s="36"/>
      <c r="C36" s="20"/>
      <c r="D36" s="26"/>
      <c r="E36" s="27"/>
      <c r="F36" s="27"/>
      <c r="G36" s="27"/>
      <c r="H36" s="27"/>
      <c r="I36" s="27">
        <f>SUM(D36:H36)</f>
        <v>0</v>
      </c>
      <c r="J36" s="28"/>
      <c r="K36" s="23">
        <f>IF(I36=0,0,I36-328.2)</f>
        <v>0</v>
      </c>
      <c r="L36" s="29"/>
      <c r="M36" s="29"/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372</v>
      </c>
      <c r="K37" s="34"/>
      <c r="L37" s="42"/>
      <c r="M37" s="43"/>
    </row>
    <row r="38" ht="27" customHeight="1" spans="2:13">
      <c r="B38" s="44" t="s">
        <v>117</v>
      </c>
      <c r="C38" s="44"/>
      <c r="D38" s="44"/>
      <c r="E38" s="44"/>
      <c r="F38" s="44"/>
      <c r="G38" s="44"/>
      <c r="H38" s="44"/>
      <c r="I38" s="44"/>
      <c r="J38" s="45">
        <f>SUM(J13:J37)</f>
        <v>7496.5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1.7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22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/>
      <c r="D8" s="21"/>
      <c r="E8" s="22"/>
      <c r="F8" s="22"/>
      <c r="G8" s="22"/>
      <c r="H8" s="22"/>
      <c r="I8" s="22">
        <f>SUM(D8:H8)</f>
        <v>0</v>
      </c>
      <c r="J8" s="23"/>
      <c r="K8" s="23">
        <f>IF(I8=0,0,I8-328.2)</f>
        <v>0</v>
      </c>
      <c r="L8" s="24"/>
      <c r="M8" s="25"/>
    </row>
    <row r="9" spans="2:13">
      <c r="B9" s="19"/>
      <c r="C9" s="20">
        <v>46357</v>
      </c>
      <c r="D9" s="26">
        <v>60.5</v>
      </c>
      <c r="E9" s="27">
        <v>195.5</v>
      </c>
      <c r="F9" s="27"/>
      <c r="G9" s="27"/>
      <c r="H9" s="27">
        <v>54.5</v>
      </c>
      <c r="I9" s="27">
        <f>SUM(D9:H9)</f>
        <v>310.5</v>
      </c>
      <c r="J9" s="28"/>
      <c r="K9" s="23">
        <f>IF(I9=0,0,I9-328.2)</f>
        <v>-17.7</v>
      </c>
      <c r="L9" s="29" t="s">
        <v>83</v>
      </c>
      <c r="M9" s="29" t="s">
        <v>82</v>
      </c>
    </row>
    <row r="10" spans="2:13">
      <c r="B10" s="19"/>
      <c r="C10" s="20">
        <v>46358</v>
      </c>
      <c r="D10" s="26">
        <v>95.5</v>
      </c>
      <c r="E10" s="27"/>
      <c r="F10" s="27">
        <v>130.5</v>
      </c>
      <c r="G10" s="27">
        <v>10.5</v>
      </c>
      <c r="H10" s="27">
        <v>90.5</v>
      </c>
      <c r="I10" s="27">
        <f>SUM(D10:H10)</f>
        <v>327</v>
      </c>
      <c r="J10" s="28"/>
      <c r="K10" s="23">
        <f>IF(I10=0,0,I10-328.2)</f>
        <v>-1.19999999999999</v>
      </c>
      <c r="L10" s="29" t="s">
        <v>87</v>
      </c>
      <c r="M10" s="29" t="s">
        <v>75</v>
      </c>
    </row>
    <row r="11" spans="2:13">
      <c r="B11" s="19"/>
      <c r="C11" s="20">
        <v>46359</v>
      </c>
      <c r="D11" s="26">
        <v>115.5</v>
      </c>
      <c r="E11" s="27">
        <v>180.5</v>
      </c>
      <c r="F11" s="27"/>
      <c r="G11" s="27">
        <v>30.5</v>
      </c>
      <c r="H11" s="27">
        <v>76.5</v>
      </c>
      <c r="I11" s="27">
        <f>SUM(D11:H11)</f>
        <v>403</v>
      </c>
      <c r="J11" s="28"/>
      <c r="K11" s="23">
        <f>IF(I11=0,0,I11-328.2)</f>
        <v>74.8</v>
      </c>
      <c r="L11" s="29" t="s">
        <v>79</v>
      </c>
      <c r="M11" s="29" t="s">
        <v>76</v>
      </c>
    </row>
    <row r="12" spans="2:13">
      <c r="B12" s="19"/>
      <c r="C12" s="20">
        <v>46360</v>
      </c>
      <c r="D12" s="26">
        <v>34.5</v>
      </c>
      <c r="E12" s="27">
        <v>110.5</v>
      </c>
      <c r="F12" s="27"/>
      <c r="G12" s="27"/>
      <c r="H12" s="27">
        <v>90.5</v>
      </c>
      <c r="I12" s="27">
        <f>SUM(D12:H12)</f>
        <v>235.5</v>
      </c>
      <c r="J12" s="28"/>
      <c r="K12" s="23">
        <f>IF(I12=0,0,I12-328.2)</f>
        <v>-92.7</v>
      </c>
      <c r="L12" s="29"/>
      <c r="M12" s="29" t="s">
        <v>75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1276</v>
      </c>
      <c r="K13" s="34"/>
      <c r="L13" s="35"/>
      <c r="M13" s="35"/>
    </row>
    <row r="14" spans="2:13">
      <c r="B14" s="36" t="s">
        <v>78</v>
      </c>
      <c r="C14" s="20">
        <v>46363</v>
      </c>
      <c r="D14" s="26">
        <v>55.5</v>
      </c>
      <c r="E14" s="27">
        <v>230.5</v>
      </c>
      <c r="F14" s="27">
        <v>55.5</v>
      </c>
      <c r="G14" s="27">
        <v>30.5</v>
      </c>
      <c r="H14" s="27">
        <v>80.5</v>
      </c>
      <c r="I14" s="27">
        <f>SUM(D14:H14)</f>
        <v>452.5</v>
      </c>
      <c r="J14" s="28"/>
      <c r="K14" s="23">
        <f>IF(I14=0,0,I14-328.2)</f>
        <v>124.3</v>
      </c>
      <c r="L14" s="29" t="s">
        <v>72</v>
      </c>
      <c r="M14" s="29" t="s">
        <v>73</v>
      </c>
    </row>
    <row r="15" spans="2:13">
      <c r="B15" s="36"/>
      <c r="C15" s="20">
        <v>46364</v>
      </c>
      <c r="D15" s="26">
        <v>50.5</v>
      </c>
      <c r="E15" s="27">
        <v>200.5</v>
      </c>
      <c r="F15" s="27">
        <v>115.5</v>
      </c>
      <c r="G15" s="27">
        <v>15.5</v>
      </c>
      <c r="H15" s="27"/>
      <c r="I15" s="27">
        <f>SUM(D15:H15)</f>
        <v>382</v>
      </c>
      <c r="J15" s="28"/>
      <c r="K15" s="23">
        <f>IF(I15=0,0,I15-328.2)</f>
        <v>53.8</v>
      </c>
      <c r="L15" s="29" t="s">
        <v>87</v>
      </c>
      <c r="M15" s="29" t="s">
        <v>90</v>
      </c>
    </row>
    <row r="16" spans="2:13">
      <c r="B16" s="36"/>
      <c r="C16" s="20">
        <v>46365</v>
      </c>
      <c r="D16" s="26">
        <v>85.5</v>
      </c>
      <c r="E16" s="27">
        <v>175.5</v>
      </c>
      <c r="F16" s="27">
        <v>110.5</v>
      </c>
      <c r="G16" s="27">
        <v>15.5</v>
      </c>
      <c r="H16" s="27">
        <v>65.5</v>
      </c>
      <c r="I16" s="27">
        <f>SUM(D16:H16)</f>
        <v>452.5</v>
      </c>
      <c r="J16" s="28"/>
      <c r="K16" s="23">
        <f>IF(I16=0,0,I16-328.2)</f>
        <v>124.3</v>
      </c>
      <c r="L16" s="29" t="s">
        <v>71</v>
      </c>
      <c r="M16" s="29" t="s">
        <v>82</v>
      </c>
    </row>
    <row r="17" spans="2:13">
      <c r="B17" s="36"/>
      <c r="C17" s="20">
        <v>46366</v>
      </c>
      <c r="D17" s="26">
        <v>45.5</v>
      </c>
      <c r="E17" s="27">
        <v>90.5</v>
      </c>
      <c r="F17" s="27"/>
      <c r="G17" s="27">
        <v>12.5</v>
      </c>
      <c r="H17" s="27"/>
      <c r="I17" s="27">
        <f>SUM(D17:H17)</f>
        <v>148.5</v>
      </c>
      <c r="J17" s="28"/>
      <c r="K17" s="23">
        <f>IF(I17=0,0,I17-328.2)</f>
        <v>-179.7</v>
      </c>
      <c r="L17" s="29"/>
      <c r="M17" s="29" t="s">
        <v>75</v>
      </c>
    </row>
    <row r="18" spans="2:13">
      <c r="B18" s="36"/>
      <c r="C18" s="20">
        <v>46367</v>
      </c>
      <c r="D18" s="26">
        <v>25.5</v>
      </c>
      <c r="E18" s="27">
        <v>150.5</v>
      </c>
      <c r="F18" s="27"/>
      <c r="G18" s="27"/>
      <c r="H18" s="27">
        <v>35.5</v>
      </c>
      <c r="I18" s="27">
        <f>SUM(D18:H18)</f>
        <v>211.5</v>
      </c>
      <c r="J18" s="28"/>
      <c r="K18" s="23">
        <f>IF(I18=0,0,I18-328.2)</f>
        <v>-116.7</v>
      </c>
      <c r="L18" s="29"/>
      <c r="M18" s="29"/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1647</v>
      </c>
      <c r="K19" s="34"/>
      <c r="L19" s="35"/>
      <c r="M19" s="35"/>
    </row>
    <row r="20" spans="2:13">
      <c r="B20" s="36" t="s">
        <v>84</v>
      </c>
      <c r="C20" s="20">
        <v>46370</v>
      </c>
      <c r="D20" s="26"/>
      <c r="E20" s="27">
        <v>115.5</v>
      </c>
      <c r="F20" s="27"/>
      <c r="G20" s="27">
        <v>30.5</v>
      </c>
      <c r="H20" s="27"/>
      <c r="I20" s="27">
        <f>SUM(D20:H20)</f>
        <v>146</v>
      </c>
      <c r="J20" s="28"/>
      <c r="K20" s="23">
        <f>IF(I20=0,0,I20-328.2)</f>
        <v>-182.2</v>
      </c>
      <c r="L20" s="29" t="s">
        <v>80</v>
      </c>
      <c r="M20" s="29"/>
    </row>
    <row r="21" spans="2:13">
      <c r="B21" s="36"/>
      <c r="C21" s="20">
        <v>46371</v>
      </c>
      <c r="D21" s="26">
        <v>90.5</v>
      </c>
      <c r="E21" s="27">
        <v>210.5</v>
      </c>
      <c r="F21" s="27"/>
      <c r="G21" s="27">
        <v>25.5</v>
      </c>
      <c r="H21" s="27">
        <v>65.5</v>
      </c>
      <c r="I21" s="27">
        <f>SUM(D21:H21)</f>
        <v>392</v>
      </c>
      <c r="J21" s="28"/>
      <c r="K21" s="23">
        <f>IF(I21=0,0,I21-328.2)</f>
        <v>63.8</v>
      </c>
      <c r="L21" s="29" t="s">
        <v>86</v>
      </c>
      <c r="M21" s="29" t="s">
        <v>73</v>
      </c>
    </row>
    <row r="22" spans="2:13">
      <c r="B22" s="36"/>
      <c r="C22" s="20">
        <v>46372</v>
      </c>
      <c r="D22" s="26">
        <v>65.5</v>
      </c>
      <c r="E22" s="27">
        <v>220.5</v>
      </c>
      <c r="F22" s="27"/>
      <c r="G22" s="27">
        <v>10.5</v>
      </c>
      <c r="H22" s="27">
        <v>65.5</v>
      </c>
      <c r="I22" s="27">
        <f>SUM(D22:H22)</f>
        <v>362</v>
      </c>
      <c r="J22" s="28"/>
      <c r="K22" s="23">
        <f>IF(I22=0,0,I22-328.2)</f>
        <v>33.8</v>
      </c>
      <c r="L22" s="29" t="s">
        <v>71</v>
      </c>
      <c r="M22" s="29" t="s">
        <v>73</v>
      </c>
    </row>
    <row r="23" spans="2:13">
      <c r="B23" s="36"/>
      <c r="C23" s="20">
        <v>46373</v>
      </c>
      <c r="D23" s="26">
        <v>90.5</v>
      </c>
      <c r="E23" s="27">
        <v>190.5</v>
      </c>
      <c r="F23" s="27"/>
      <c r="G23" s="27"/>
      <c r="H23" s="27">
        <v>100.5</v>
      </c>
      <c r="I23" s="27">
        <f>SUM(D23:H23)</f>
        <v>381.5</v>
      </c>
      <c r="J23" s="28"/>
      <c r="K23" s="23">
        <f>IF(I23=0,0,I23-328.2)</f>
        <v>53.3</v>
      </c>
      <c r="L23" s="29" t="s">
        <v>83</v>
      </c>
      <c r="M23" s="29" t="s">
        <v>101</v>
      </c>
    </row>
    <row r="24" spans="2:13">
      <c r="B24" s="36"/>
      <c r="C24" s="20">
        <v>46374</v>
      </c>
      <c r="D24" s="26">
        <v>60.5</v>
      </c>
      <c r="E24" s="27">
        <v>235.5</v>
      </c>
      <c r="F24" s="27"/>
      <c r="G24" s="27">
        <v>25.5</v>
      </c>
      <c r="H24" s="27"/>
      <c r="I24" s="27">
        <f>SUM(D24:H24)</f>
        <v>321.5</v>
      </c>
      <c r="J24" s="28"/>
      <c r="K24" s="23">
        <f>IF(I24=0,0,I24-328.2)</f>
        <v>-6.69999999999999</v>
      </c>
      <c r="L24" s="29" t="s">
        <v>86</v>
      </c>
      <c r="M24" s="29" t="s">
        <v>75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1603</v>
      </c>
      <c r="K25" s="34"/>
      <c r="L25" s="35"/>
      <c r="M25" s="35"/>
    </row>
    <row r="26" spans="2:13">
      <c r="B26" s="36" t="s">
        <v>88</v>
      </c>
      <c r="C26" s="20">
        <v>46377</v>
      </c>
      <c r="D26" s="26">
        <v>60.5</v>
      </c>
      <c r="E26" s="27">
        <v>230.5</v>
      </c>
      <c r="F26" s="27"/>
      <c r="G26" s="27"/>
      <c r="H26" s="27"/>
      <c r="I26" s="27">
        <f>SUM(D26:H26)</f>
        <v>291</v>
      </c>
      <c r="J26" s="28"/>
      <c r="K26" s="23">
        <f>IF(I26=0,0,I26-328.2)</f>
        <v>-37.2</v>
      </c>
      <c r="L26" s="29"/>
      <c r="M26" s="29" t="s">
        <v>75</v>
      </c>
    </row>
    <row r="27" spans="2:13">
      <c r="B27" s="36"/>
      <c r="C27" s="20">
        <v>46378</v>
      </c>
      <c r="D27" s="26">
        <v>27.5</v>
      </c>
      <c r="E27" s="27"/>
      <c r="F27" s="27">
        <v>90.5</v>
      </c>
      <c r="G27" s="27"/>
      <c r="H27" s="27"/>
      <c r="I27" s="27">
        <f>SUM(D27:H27)</f>
        <v>118</v>
      </c>
      <c r="J27" s="28"/>
      <c r="K27" s="23">
        <f>IF(I27=0,0,I27-328.2)</f>
        <v>-210.2</v>
      </c>
      <c r="L27" s="29" t="s">
        <v>71</v>
      </c>
      <c r="M27" s="29" t="s">
        <v>82</v>
      </c>
    </row>
    <row r="28" spans="2:13">
      <c r="B28" s="36"/>
      <c r="C28" s="20">
        <v>46379</v>
      </c>
      <c r="D28" s="26">
        <v>75.5</v>
      </c>
      <c r="E28" s="27">
        <v>180.5</v>
      </c>
      <c r="F28" s="27">
        <v>120.5</v>
      </c>
      <c r="G28" s="27">
        <v>20.5</v>
      </c>
      <c r="H28" s="27">
        <v>50.5</v>
      </c>
      <c r="I28" s="27">
        <f>SUM(D28:H28)</f>
        <v>447.5</v>
      </c>
      <c r="J28" s="28"/>
      <c r="K28" s="23">
        <f>IF(I28=0,0,I28-328.2)</f>
        <v>119.3</v>
      </c>
      <c r="L28" s="29" t="s">
        <v>80</v>
      </c>
      <c r="M28" s="29" t="s">
        <v>73</v>
      </c>
    </row>
    <row r="29" spans="2:13">
      <c r="B29" s="36"/>
      <c r="C29" s="20">
        <v>46380</v>
      </c>
      <c r="D29" s="26">
        <v>55.5</v>
      </c>
      <c r="E29" s="27">
        <v>260.5</v>
      </c>
      <c r="F29" s="27"/>
      <c r="G29" s="27">
        <v>20.5</v>
      </c>
      <c r="H29" s="27"/>
      <c r="I29" s="27">
        <f>SUM(D29:H29)</f>
        <v>336.5</v>
      </c>
      <c r="J29" s="28"/>
      <c r="K29" s="23">
        <f>IF(I29=0,0,I29-328.2)</f>
        <v>8.30000000000001</v>
      </c>
      <c r="L29" s="29" t="s">
        <v>71</v>
      </c>
      <c r="M29" s="29" t="s">
        <v>82</v>
      </c>
    </row>
    <row r="30" spans="2:13">
      <c r="B30" s="36"/>
      <c r="C30" s="20">
        <v>46381</v>
      </c>
      <c r="D30" s="26">
        <v>65.5</v>
      </c>
      <c r="E30" s="27">
        <v>280.5</v>
      </c>
      <c r="F30" s="27"/>
      <c r="G30" s="27">
        <v>10.5</v>
      </c>
      <c r="H30" s="27"/>
      <c r="I30" s="27">
        <f>SUM(D30:H30)</f>
        <v>356.5</v>
      </c>
      <c r="J30" s="28"/>
      <c r="K30" s="23">
        <f>IF(I30=0,0,I30-328.2)</f>
        <v>28.3</v>
      </c>
      <c r="L30" s="29" t="s">
        <v>71</v>
      </c>
      <c r="M30" s="29" t="s">
        <v>75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1549.5</v>
      </c>
      <c r="K31" s="34"/>
      <c r="L31" s="35"/>
      <c r="M31" s="35"/>
    </row>
    <row r="32" spans="2:13">
      <c r="B32" s="36" t="s">
        <v>91</v>
      </c>
      <c r="C32" s="20">
        <v>46384</v>
      </c>
      <c r="D32" s="26">
        <v>75.5</v>
      </c>
      <c r="E32" s="27">
        <v>300.5</v>
      </c>
      <c r="F32" s="27">
        <v>120.5</v>
      </c>
      <c r="G32" s="27"/>
      <c r="H32" s="27">
        <v>80.5</v>
      </c>
      <c r="I32" s="27">
        <f>SUM(D32:H32)</f>
        <v>577</v>
      </c>
      <c r="J32" s="37"/>
      <c r="K32" s="23">
        <f>IF(I32=0,0,I32-328.2)</f>
        <v>248.8</v>
      </c>
      <c r="L32" s="29" t="s">
        <v>72</v>
      </c>
      <c r="M32" s="29" t="s">
        <v>96</v>
      </c>
    </row>
    <row r="33" spans="2:13">
      <c r="B33" s="36"/>
      <c r="C33" s="20">
        <v>46385</v>
      </c>
      <c r="D33" s="26"/>
      <c r="E33" s="27">
        <v>140.5</v>
      </c>
      <c r="F33" s="27">
        <v>110.5</v>
      </c>
      <c r="G33" s="27">
        <v>30.5</v>
      </c>
      <c r="H33" s="27">
        <v>50.5</v>
      </c>
      <c r="I33" s="27">
        <f>SUM(D33:H33)</f>
        <v>332</v>
      </c>
      <c r="J33" s="28"/>
      <c r="K33" s="23">
        <f>IF(I33=0,0,I33-328.2)</f>
        <v>3.80000000000001</v>
      </c>
      <c r="L33" s="29" t="s">
        <v>80</v>
      </c>
      <c r="M33" s="29" t="s">
        <v>73</v>
      </c>
    </row>
    <row r="34" spans="2:13">
      <c r="B34" s="36"/>
      <c r="C34" s="20">
        <v>46386</v>
      </c>
      <c r="D34" s="26">
        <v>65.5</v>
      </c>
      <c r="E34" s="27">
        <v>230.5</v>
      </c>
      <c r="F34" s="27">
        <v>130.5</v>
      </c>
      <c r="G34" s="27"/>
      <c r="H34" s="27">
        <v>40.5</v>
      </c>
      <c r="I34" s="27">
        <f>SUM(D34:H34)</f>
        <v>467</v>
      </c>
      <c r="J34" s="28"/>
      <c r="K34" s="23">
        <f>IF(I34=0,0,I34-328.2)</f>
        <v>138.8</v>
      </c>
      <c r="L34" s="29" t="s">
        <v>80</v>
      </c>
      <c r="M34" s="29" t="s">
        <v>82</v>
      </c>
    </row>
    <row r="35" spans="2:13">
      <c r="B35" s="36"/>
      <c r="C35" s="20">
        <v>46387</v>
      </c>
      <c r="D35" s="26">
        <v>100.5</v>
      </c>
      <c r="E35" s="27">
        <v>230.5</v>
      </c>
      <c r="F35" s="27">
        <v>135.5</v>
      </c>
      <c r="G35" s="27"/>
      <c r="H35" s="27">
        <v>65.5</v>
      </c>
      <c r="I35" s="27">
        <f>SUM(D35:H35)</f>
        <v>532</v>
      </c>
      <c r="J35" s="28"/>
      <c r="K35" s="23">
        <f>IF(I35=0,0,I35-328.2)</f>
        <v>203.8</v>
      </c>
      <c r="L35" s="29" t="s">
        <v>87</v>
      </c>
      <c r="M35" s="29" t="s">
        <v>75</v>
      </c>
    </row>
    <row r="36" spans="2:13">
      <c r="B36" s="36"/>
      <c r="C36" s="20"/>
      <c r="D36" s="26"/>
      <c r="E36" s="27"/>
      <c r="F36" s="27"/>
      <c r="G36" s="27"/>
      <c r="H36" s="27"/>
      <c r="I36" s="27">
        <f>SUM(D36:H36)</f>
        <v>0</v>
      </c>
      <c r="J36" s="28"/>
      <c r="K36" s="23">
        <f>IF(I36=0,0,I36-328.2)</f>
        <v>0</v>
      </c>
      <c r="L36" s="29"/>
      <c r="M36" s="29"/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1908</v>
      </c>
      <c r="K37" s="34"/>
      <c r="L37" s="42"/>
      <c r="M37" s="43"/>
    </row>
    <row r="38" ht="27" customHeight="1" spans="2:13">
      <c r="B38" s="44" t="s">
        <v>118</v>
      </c>
      <c r="C38" s="44"/>
      <c r="D38" s="44"/>
      <c r="E38" s="44"/>
      <c r="F38" s="44"/>
      <c r="G38" s="44"/>
      <c r="H38" s="44"/>
      <c r="I38" s="44"/>
      <c r="J38" s="45">
        <f>SUM(J13:J37)</f>
        <v>7983.5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Dashboard</vt:lpstr>
      <vt:lpstr>Summary</vt:lpstr>
      <vt:lpstr>Full_Data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Andril</cp:lastModifiedBy>
  <dcterms:created xsi:type="dcterms:W3CDTF">2026-05-14T12:21:00Z</dcterms:created>
  <dcterms:modified xsi:type="dcterms:W3CDTF">2026-06-04T18:20:28Z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E0EEC1D69CA26E96CB93016ABFC26135_43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